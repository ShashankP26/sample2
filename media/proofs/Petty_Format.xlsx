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predict Backup 2025 May\XPREDICT 2022-23\BILLS\FY 24-25\"/>
    </mc:Choice>
  </mc:AlternateContent>
  <xr:revisionPtr revIDLastSave="0" documentId="13_ncr:1_{D231DF72-AFA1-4E26-A541-B4B6D6F033AC}" xr6:coauthVersionLast="47" xr6:coauthVersionMax="47" xr10:uidLastSave="{00000000-0000-0000-0000-000000000000}"/>
  <bookViews>
    <workbookView xWindow="-110" yWindow="-110" windowWidth="19420" windowHeight="10300" firstSheet="2" activeTab="4" xr2:uid="{FBCED45A-4A32-4DEC-8137-94072EC2090F}"/>
  </bookViews>
  <sheets>
    <sheet name="Sheet1" sheetId="1" state="hidden" r:id="rId1"/>
    <sheet name="Attendance" sheetId="2" state="hidden" r:id="rId2"/>
    <sheet name="Expenditure" sheetId="3" r:id="rId3"/>
    <sheet name="Sheet4" sheetId="7" r:id="rId4"/>
    <sheet name="DataSource" sheetId="4" r:id="rId5"/>
  </sheet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3" l="1"/>
  <c r="K4" i="3"/>
  <c r="Q16" i="3" l="1"/>
  <c r="R16" i="3"/>
  <c r="Q17" i="3"/>
  <c r="R17" i="3"/>
  <c r="Q15" i="3"/>
  <c r="R15" i="3"/>
  <c r="Q14" i="3"/>
  <c r="R14" i="3"/>
  <c r="Q5" i="3"/>
  <c r="R5" i="3"/>
  <c r="R6" i="3"/>
  <c r="Q7" i="3"/>
  <c r="R7" i="3"/>
  <c r="Q8" i="3"/>
  <c r="R8" i="3"/>
  <c r="Q9" i="3"/>
  <c r="R9" i="3"/>
  <c r="Q10" i="3"/>
  <c r="R10" i="3"/>
  <c r="Q11" i="3"/>
  <c r="R11" i="3"/>
  <c r="Q12" i="3"/>
  <c r="R12" i="3"/>
  <c r="Q13" i="3"/>
  <c r="R13" i="3"/>
  <c r="Q6" i="3"/>
  <c r="S6" i="3" l="1"/>
  <c r="S8" i="3"/>
  <c r="S10" i="3"/>
  <c r="S12" i="3"/>
  <c r="S5" i="3"/>
  <c r="S15" i="3"/>
  <c r="S11" i="3"/>
  <c r="S17" i="3"/>
  <c r="S16" i="3"/>
  <c r="S14" i="3"/>
  <c r="S9" i="3"/>
  <c r="S7" i="3"/>
  <c r="S13" i="3"/>
</calcChain>
</file>

<file path=xl/sharedStrings.xml><?xml version="1.0" encoding="utf-8"?>
<sst xmlns="http://schemas.openxmlformats.org/spreadsheetml/2006/main" count="202" uniqueCount="107">
  <si>
    <t>checklist</t>
  </si>
  <si>
    <t>time</t>
  </si>
  <si>
    <t xml:space="preserve">Mon </t>
  </si>
  <si>
    <t>Tue</t>
  </si>
  <si>
    <t>Wed</t>
  </si>
  <si>
    <t>Thu</t>
  </si>
  <si>
    <t>Fri</t>
  </si>
  <si>
    <t>Sat</t>
  </si>
  <si>
    <t>Cleaning of Portico</t>
  </si>
  <si>
    <t>Cleaning of Office</t>
  </si>
  <si>
    <t>Cleaning of Shopfloor</t>
  </si>
  <si>
    <t>Cleaning of Kitchen</t>
  </si>
  <si>
    <t>Watering the plants</t>
  </si>
  <si>
    <t>Indent</t>
  </si>
  <si>
    <t>Inwards</t>
  </si>
  <si>
    <t>Purchase bill filing</t>
  </si>
  <si>
    <t>GST input in excel</t>
  </si>
  <si>
    <t>Online petty bill log in</t>
  </si>
  <si>
    <t>links</t>
  </si>
  <si>
    <t>UPI</t>
  </si>
  <si>
    <t>Net Banking</t>
  </si>
  <si>
    <t>Cash</t>
  </si>
  <si>
    <t>Debit Card</t>
  </si>
  <si>
    <t>Food</t>
  </si>
  <si>
    <t>Others</t>
  </si>
  <si>
    <t>GST</t>
  </si>
  <si>
    <t>voucher</t>
  </si>
  <si>
    <t>Bill</t>
  </si>
  <si>
    <t>K</t>
  </si>
  <si>
    <t>Mode of payment</t>
  </si>
  <si>
    <t>Item Type</t>
  </si>
  <si>
    <t>Payment Category</t>
  </si>
  <si>
    <t>Column1</t>
  </si>
  <si>
    <t>employees</t>
  </si>
  <si>
    <t>Gajanan</t>
  </si>
  <si>
    <t>Kirti</t>
  </si>
  <si>
    <t>Vibha</t>
  </si>
  <si>
    <t>Siva</t>
  </si>
  <si>
    <t>Paveena</t>
  </si>
  <si>
    <t>Madhu</t>
  </si>
  <si>
    <t>Geetha</t>
  </si>
  <si>
    <t>Porter transportation</t>
  </si>
  <si>
    <t>Transaction Category</t>
  </si>
  <si>
    <t>Internal</t>
  </si>
  <si>
    <t>External</t>
  </si>
  <si>
    <t>Paid To</t>
  </si>
  <si>
    <t>PaidBy</t>
  </si>
  <si>
    <t>PaidTo</t>
  </si>
  <si>
    <t>XprAcnt</t>
  </si>
  <si>
    <t>ThirdParty</t>
  </si>
  <si>
    <t>Serial No</t>
  </si>
  <si>
    <t>Date</t>
  </si>
  <si>
    <t>Item Name</t>
  </si>
  <si>
    <t>Paid By</t>
  </si>
  <si>
    <t>Mode of Payment</t>
  </si>
  <si>
    <t>Amount</t>
  </si>
  <si>
    <t>Shashank</t>
  </si>
  <si>
    <t>Adarsh</t>
  </si>
  <si>
    <t>Tammani</t>
  </si>
  <si>
    <t>Ganesh N</t>
  </si>
  <si>
    <t>bills</t>
  </si>
  <si>
    <t>PAID RECIPTS\21-03-2024 electroface connectronics 270.jpg</t>
  </si>
  <si>
    <t>PAID RECIPTS\27-03-2023 gok leo pump repair 300.jpg</t>
  </si>
  <si>
    <t>PAID RECIPTS\28-03-2024 offc snacks.50.jpg</t>
  </si>
  <si>
    <t>PAID RECIPTS\28-03-2024 lunch.jpg</t>
  </si>
  <si>
    <t>kirti</t>
  </si>
  <si>
    <t>Petrol</t>
  </si>
  <si>
    <t>Vendor</t>
  </si>
  <si>
    <t>Reimbursement</t>
  </si>
  <si>
    <t>Advances</t>
  </si>
  <si>
    <t>Travelling</t>
  </si>
  <si>
    <t>Electricity bill</t>
  </si>
  <si>
    <t>Internet bill</t>
  </si>
  <si>
    <t>Postage and telegram</t>
  </si>
  <si>
    <t>Machine Repair and maintanence</t>
  </si>
  <si>
    <t>Conveyance</t>
  </si>
  <si>
    <t>Stationary and printing</t>
  </si>
  <si>
    <t>Row Labels</t>
  </si>
  <si>
    <t>(blank)</t>
  </si>
  <si>
    <t>Grand Total</t>
  </si>
  <si>
    <t>Sum of Amount</t>
  </si>
  <si>
    <t>Fright/Transportation</t>
  </si>
  <si>
    <t>Food/Grocery</t>
  </si>
  <si>
    <t>Fuel and oil</t>
  </si>
  <si>
    <t>Machine Repair and maintanence-Machinery</t>
  </si>
  <si>
    <t>Hospitality</t>
  </si>
  <si>
    <t>Machine Repair and maintanence-Others</t>
  </si>
  <si>
    <t>Karthik</t>
  </si>
  <si>
    <t>Kushal Dhole</t>
  </si>
  <si>
    <t xml:space="preserve">Vishal </t>
  </si>
  <si>
    <t>Ponanna</t>
  </si>
  <si>
    <t>Vishal</t>
  </si>
  <si>
    <t>Ponnana</t>
  </si>
  <si>
    <t>Nishanth</t>
  </si>
  <si>
    <t>Shashank P</t>
  </si>
  <si>
    <t>Sudeep G</t>
  </si>
  <si>
    <t>Rahul</t>
  </si>
  <si>
    <t>TATA site food and auto</t>
  </si>
  <si>
    <t>Tata site</t>
  </si>
  <si>
    <t>Drill bit</t>
  </si>
  <si>
    <t>adv to sudeep</t>
  </si>
  <si>
    <t>Credit</t>
  </si>
  <si>
    <t>Ganesh KV</t>
  </si>
  <si>
    <t>Site services-Food</t>
  </si>
  <si>
    <t>Marketing Exp</t>
  </si>
  <si>
    <t>Site services-petrol</t>
  </si>
  <si>
    <t>Site services-toll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</si>
</sst>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2" fillId="0" borderId="0" xfId="0" applyFont="1" applyAlignment="1">
      <alignment wrapText="1"/>
    </xf>
    <xf numFmtId="1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1" applyAlignment="1">
      <alignment wrapText="1"/>
    </xf>
    <xf numFmtId="0" fontId="5" fillId="0" borderId="0" xfId="1" applyFill="1" applyAlignment="1">
      <alignment wrapText="1"/>
    </xf>
    <xf numFmtId="0" fontId="4" fillId="0" borderId="0" xfId="1" applyFont="1" applyAlignment="1">
      <alignment wrapText="1"/>
    </xf>
    <xf numFmtId="0" fontId="4" fillId="0" borderId="0" xfId="1" applyFont="1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4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[Petty Format.xlsx]Sheet4!PivotTable23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Sheet4!$A$4:$A$32</c:f>
              <c:multiLvlStrCache>
                <c:ptCount val="14"/>
                <c:lvl>
                  <c:pt idx="0">
                    <c:v>Internal</c:v>
                  </c:pt>
                  <c:pt idx="1">
                    <c:v>External</c:v>
                  </c:pt>
                  <c:pt idx="2">
                    <c:v>External</c:v>
                  </c:pt>
                  <c:pt idx="3">
                    <c:v>External</c:v>
                  </c:pt>
                  <c:pt idx="4">
                    <c:v>External</c:v>
                  </c:pt>
                  <c:pt idx="5">
                    <c:v>External</c:v>
                  </c:pt>
                  <c:pt idx="6">
                    <c:v>External</c:v>
                  </c:pt>
                  <c:pt idx="7">
                    <c:v>External</c:v>
                  </c:pt>
                  <c:pt idx="8">
                    <c:v>External</c:v>
                  </c:pt>
                  <c:pt idx="9">
                    <c:v>External</c:v>
                  </c:pt>
                  <c:pt idx="10">
                    <c:v>External</c:v>
                  </c:pt>
                  <c:pt idx="11">
                    <c:v>External</c:v>
                  </c:pt>
                  <c:pt idx="12">
                    <c:v>External</c:v>
                  </c:pt>
                  <c:pt idx="13">
                    <c:v>(blank)</c:v>
                  </c:pt>
                </c:lvl>
                <c:lvl>
                  <c:pt idx="0">
                    <c:v>Advances</c:v>
                  </c:pt>
                  <c:pt idx="1">
                    <c:v>Conveyance</c:v>
                  </c:pt>
                  <c:pt idx="2">
                    <c:v>Electricity bill</c:v>
                  </c:pt>
                  <c:pt idx="3">
                    <c:v>Food</c:v>
                  </c:pt>
                  <c:pt idx="4">
                    <c:v>Internet bill</c:v>
                  </c:pt>
                  <c:pt idx="5">
                    <c:v>Machine Repair and maintanence</c:v>
                  </c:pt>
                  <c:pt idx="6">
                    <c:v>Others</c:v>
                  </c:pt>
                  <c:pt idx="7">
                    <c:v>Petrol</c:v>
                  </c:pt>
                  <c:pt idx="8">
                    <c:v>Porter transportation</c:v>
                  </c:pt>
                  <c:pt idx="9">
                    <c:v>Postage and telegram</c:v>
                  </c:pt>
                  <c:pt idx="10">
                    <c:v>Reimbursement</c:v>
                  </c:pt>
                  <c:pt idx="11">
                    <c:v>Stationary and printing</c:v>
                  </c:pt>
                  <c:pt idx="12">
                    <c:v>Vendor</c:v>
                  </c:pt>
                  <c:pt idx="13">
                    <c:v>(blank)</c:v>
                  </c:pt>
                </c:lvl>
              </c:multiLvlStrCache>
            </c:multiLvlStrRef>
          </c:cat>
          <c:val>
            <c:numRef>
              <c:f>Sheet4!$B$4:$B$32</c:f>
              <c:numCache>
                <c:formatCode>General</c:formatCode>
                <c:ptCount val="14"/>
                <c:pt idx="0">
                  <c:v>176091</c:v>
                </c:pt>
                <c:pt idx="1">
                  <c:v>260</c:v>
                </c:pt>
                <c:pt idx="2">
                  <c:v>8486</c:v>
                </c:pt>
                <c:pt idx="3">
                  <c:v>29109</c:v>
                </c:pt>
                <c:pt idx="4">
                  <c:v>1299</c:v>
                </c:pt>
                <c:pt idx="5">
                  <c:v>4425</c:v>
                </c:pt>
                <c:pt idx="6">
                  <c:v>3460</c:v>
                </c:pt>
                <c:pt idx="7">
                  <c:v>3720</c:v>
                </c:pt>
                <c:pt idx="8">
                  <c:v>1771</c:v>
                </c:pt>
                <c:pt idx="9">
                  <c:v>130</c:v>
                </c:pt>
                <c:pt idx="10">
                  <c:v>855</c:v>
                </c:pt>
                <c:pt idx="11">
                  <c:v>4170</c:v>
                </c:pt>
                <c:pt idx="12">
                  <c:v>71977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5-4312-8449-2471A1243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265071"/>
        <c:axId val="194270831"/>
      </c:barChart>
      <c:catAx>
        <c:axId val="19426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70831"/>
        <c:crosses val="autoZero"/>
        <c:auto val="1"/>
        <c:lblAlgn val="ctr"/>
        <c:lblOffset val="100"/>
        <c:noMultiLvlLbl val="0"/>
      </c:catAx>
      <c:valAx>
        <c:axId val="19427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6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22225</xdr:rowOff>
    </xdr:from>
    <xdr:to>
      <xdr:col>13</xdr:col>
      <xdr:colOff>231775</xdr:colOff>
      <xdr:row>18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DE159B-6ABB-A8BF-675A-9ED84F74F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RDDHI" refreshedDate="45407.788937847225" createdVersion="8" refreshedVersion="8" minRefreshableVersion="3" recordCount="124" xr:uid="{5CAF0C04-DC1A-4A12-A42B-89F1CABDE93C}">
  <cacheSource type="worksheet">
    <worksheetSource name="Table5[[Date]:[Amount]]"/>
  </cacheSource>
  <cacheFields count="9">
    <cacheField name="Date" numFmtId="0">
      <sharedItems containsNonDate="0" containsDate="1" containsString="0" containsBlank="1" minDate="2024-03-01T00:00:00" maxDate="2024-04-01T00:00:00"/>
    </cacheField>
    <cacheField name="Item Name" numFmtId="0">
      <sharedItems containsBlank="1"/>
    </cacheField>
    <cacheField name="Item Type" numFmtId="0">
      <sharedItems containsBlank="1" count="14">
        <m/>
        <s v="Food"/>
        <s v="Advances"/>
        <s v="Vendor"/>
        <s v="Petrol"/>
        <s v="Postage and telegram"/>
        <s v="Others"/>
        <s v="Porter transportation"/>
        <s v="Stationary and printing"/>
        <s v="Conveyance"/>
        <s v="Machine Repair and maintanence"/>
        <s v="Electricity bill"/>
        <s v="Reimbursement"/>
        <s v="Internet bill"/>
      </sharedItems>
    </cacheField>
    <cacheField name="Payment Category" numFmtId="0">
      <sharedItems containsBlank="1"/>
    </cacheField>
    <cacheField name="Paid By" numFmtId="0">
      <sharedItems containsBlank="1"/>
    </cacheField>
    <cacheField name="Paid To" numFmtId="0">
      <sharedItems containsBlank="1"/>
    </cacheField>
    <cacheField name="Transaction Category" numFmtId="0">
      <sharedItems containsBlank="1" count="3">
        <m/>
        <s v="External"/>
        <s v="Internal"/>
      </sharedItems>
    </cacheField>
    <cacheField name="Mode of Payment" numFmtId="0">
      <sharedItems containsBlank="1"/>
    </cacheField>
    <cacheField name="Amount" numFmtId="0">
      <sharedItems containsString="0" containsBlank="1" containsNumber="1" containsInteger="1" minValue="27" maxValue="2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m/>
    <m/>
    <x v="0"/>
    <m/>
    <m/>
    <m/>
    <x v="0"/>
    <m/>
    <m/>
  </r>
  <r>
    <d v="2024-03-01T00:00:00"/>
    <s v="Bread  "/>
    <x v="1"/>
    <s v="voucher"/>
    <s v="Pushpavathi"/>
    <s v="ThirdParty"/>
    <x v="1"/>
    <s v="UPI"/>
    <n v="100"/>
  </r>
  <r>
    <d v="2024-03-01T00:00:00"/>
    <s v="Rice 3kg"/>
    <x v="1"/>
    <s v="voucher"/>
    <s v="Pushpavathi"/>
    <s v="ThirdParty"/>
    <x v="1"/>
    <s v="UPI"/>
    <n v="160"/>
  </r>
  <r>
    <d v="2024-03-02T00:00:00"/>
    <s v="fish food"/>
    <x v="2"/>
    <s v="voucher"/>
    <s v="Kirti"/>
    <s v="Madhu"/>
    <x v="2"/>
    <s v="UPI"/>
    <n v="2500"/>
  </r>
  <r>
    <d v="2024-03-02T00:00:00"/>
    <s v="fish food"/>
    <x v="1"/>
    <s v="voucher"/>
    <s v="Madhu"/>
    <s v="ThirdParty"/>
    <x v="1"/>
    <s v="UPI"/>
    <n v="2500"/>
  </r>
  <r>
    <d v="2024-03-02T00:00:00"/>
    <s v="vijaya aqua systems"/>
    <x v="3"/>
    <s v="GST"/>
    <s v="XprAcnt"/>
    <s v="ThirdParty"/>
    <x v="1"/>
    <s v="Net Banking"/>
    <n v="4484"/>
  </r>
  <r>
    <d v="2024-03-02T00:00:00"/>
    <s v="vijaya aqua systems porter"/>
    <x v="3"/>
    <s v="voucher"/>
    <s v="Kirti"/>
    <s v="ThirdParty"/>
    <x v="1"/>
    <s v="UPI"/>
    <n v="130"/>
  </r>
  <r>
    <d v="2024-03-02T00:00:00"/>
    <s v="petrol sirsi"/>
    <x v="2"/>
    <s v="Bill"/>
    <s v="XprAcnt"/>
    <s v="Kirti"/>
    <x v="2"/>
    <s v="Net Banking"/>
    <n v="5000"/>
  </r>
  <r>
    <d v="2024-03-03T00:00:00"/>
    <s v="march milk and curd "/>
    <x v="1"/>
    <s v="voucher"/>
    <s v="Kirti"/>
    <s v="ThirdParty"/>
    <x v="1"/>
    <s v="UPI"/>
    <n v="3484"/>
  </r>
  <r>
    <d v="2024-03-04T00:00:00"/>
    <s v="bike petrol"/>
    <x v="4"/>
    <s v="Bill"/>
    <s v="Kirti"/>
    <s v="ThirdParty"/>
    <x v="1"/>
    <s v="UPI"/>
    <n v="500"/>
  </r>
  <r>
    <d v="2024-03-04T00:00:00"/>
    <s v="gas lightes"/>
    <x v="1"/>
    <s v="voucher"/>
    <s v="Sharan"/>
    <s v="ThirdParty"/>
    <x v="1"/>
    <s v="Cash"/>
    <n v="30"/>
  </r>
  <r>
    <d v="2024-03-04T00:00:00"/>
    <s v="s r s travels and logistics pvt ltd"/>
    <x v="5"/>
    <s v="Bill"/>
    <s v="Sharan"/>
    <s v="ThirdParty"/>
    <x v="1"/>
    <s v="Cash"/>
    <n v="130"/>
  </r>
  <r>
    <d v="2024-03-04T00:00:00"/>
    <s v="shreyans industrial supplirs"/>
    <x v="3"/>
    <s v="GST"/>
    <s v="XprAcnt"/>
    <s v="ThirdParty"/>
    <x v="1"/>
    <s v="Net Banking"/>
    <n v="2749"/>
  </r>
  <r>
    <d v="2024-03-05T00:00:00"/>
    <s v="rice 1kg"/>
    <x v="2"/>
    <s v="voucher"/>
    <s v="Pushpavathi"/>
    <s v="Madhu"/>
    <x v="2"/>
    <s v="UPI"/>
    <n v="55"/>
  </r>
  <r>
    <d v="2024-03-05T00:00:00"/>
    <s v="rice 1kg"/>
    <x v="1"/>
    <s v="voucher"/>
    <s v="Madhu"/>
    <s v="ThirdParty"/>
    <x v="1"/>
    <s v="Cash"/>
    <n v="55"/>
  </r>
  <r>
    <d v="2024-03-05T00:00:00"/>
    <s v="xxx"/>
    <x v="2"/>
    <s v="voucher"/>
    <s v="Gajanan"/>
    <s v="Madhu"/>
    <x v="2"/>
    <s v="UPI"/>
    <n v="855"/>
  </r>
  <r>
    <d v="2024-03-06T00:00:00"/>
    <s v="bike petrol"/>
    <x v="4"/>
    <s v="Bill"/>
    <s v="Kirti"/>
    <s v="ThirdParty"/>
    <x v="1"/>
    <s v="UPI"/>
    <n v="300"/>
  </r>
  <r>
    <d v="2024-03-06T00:00:00"/>
    <s v="industrial stores suppliers"/>
    <x v="3"/>
    <s v="GST"/>
    <s v="Kirti"/>
    <s v="ThirdParty"/>
    <x v="1"/>
    <s v="UPI"/>
    <n v="1664"/>
  </r>
  <r>
    <d v="2024-03-06T00:00:00"/>
    <s v="soldering sponge"/>
    <x v="3"/>
    <s v="Bill"/>
    <s v="Sharan"/>
    <s v="ThirdParty"/>
    <x v="1"/>
    <s v="Cash"/>
    <n v="100"/>
  </r>
  <r>
    <d v="2024-03-06T00:00:00"/>
    <s v="kiz fasteners"/>
    <x v="3"/>
    <s v="GST"/>
    <s v="Kirti"/>
    <s v="ThirdParty"/>
    <x v="1"/>
    <s v="UPI"/>
    <n v="3363"/>
  </r>
  <r>
    <d v="2024-03-06T00:00:00"/>
    <s v="rat mat"/>
    <x v="2"/>
    <s v="voucher"/>
    <s v="Kirti"/>
    <s v="Madhu"/>
    <x v="2"/>
    <s v="UPI"/>
    <n v="290"/>
  </r>
  <r>
    <d v="2024-03-06T00:00:00"/>
    <s v="rat mat"/>
    <x v="6"/>
    <s v="voucher"/>
    <s v="Madhu"/>
    <s v="ThirdParty"/>
    <x v="1"/>
    <s v="Cash"/>
    <n v="290"/>
  </r>
  <r>
    <d v="2024-03-06T00:00:00"/>
    <s v="office grocery"/>
    <x v="1"/>
    <s v="voucher"/>
    <s v="Pushpavathi"/>
    <s v="ThirdParty"/>
    <x v="1"/>
    <s v="UPI"/>
    <n v="110"/>
  </r>
  <r>
    <d v="2024-03-07T00:00:00"/>
    <s v="portercharge from concorde"/>
    <x v="2"/>
    <s v="Bill"/>
    <s v="Kirti"/>
    <s v="Madhu"/>
    <x v="2"/>
    <s v="UPI"/>
    <n v="481"/>
  </r>
  <r>
    <d v="2024-03-07T00:00:00"/>
    <s v="portercharge from concorde"/>
    <x v="7"/>
    <s v="voucher"/>
    <s v="Madhu"/>
    <s v="ThirdParty"/>
    <x v="1"/>
    <s v="UPI"/>
    <n v="481"/>
  </r>
  <r>
    <d v="2024-03-07T00:00:00"/>
    <s v="Bhavani site visit"/>
    <x v="2"/>
    <s v="voucher"/>
    <s v="Gajanan"/>
    <s v="Madhu"/>
    <x v="2"/>
    <s v="UPI"/>
    <n v="510"/>
  </r>
  <r>
    <d v="2024-03-08T00:00:00"/>
    <s v="food lunch "/>
    <x v="1"/>
    <s v="voucher"/>
    <s v="Kirti"/>
    <s v="ThirdParty"/>
    <x v="1"/>
    <s v="UPI"/>
    <n v="3899"/>
  </r>
  <r>
    <d v="2024-03-08T00:00:00"/>
    <s v="sri sapthagiri enterprses"/>
    <x v="3"/>
    <s v="voucher"/>
    <s v="Kirti"/>
    <s v="ThirdParty"/>
    <x v="1"/>
    <s v="UPI"/>
    <n v="70"/>
  </r>
  <r>
    <d v="2024-03-08T00:00:00"/>
    <s v="xxx"/>
    <x v="2"/>
    <s v="voucher"/>
    <s v="Gajanan"/>
    <s v="Madhu"/>
    <x v="2"/>
    <s v="UPI"/>
    <n v="320"/>
  </r>
  <r>
    <d v="2024-03-10T00:00:00"/>
    <s v="offc vegetebls"/>
    <x v="1"/>
    <s v="Bill"/>
    <s v="Kirti"/>
    <s v="ThirdParty"/>
    <x v="1"/>
    <s v="UPI"/>
    <n v="380"/>
  </r>
  <r>
    <d v="2024-03-11T00:00:00"/>
    <s v="stickers"/>
    <x v="8"/>
    <s v="Bill"/>
    <s v="Kirti"/>
    <s v="ThirdParty"/>
    <x v="1"/>
    <s v="UPI"/>
    <n v="200"/>
  </r>
  <r>
    <d v="2024-03-11T00:00:00"/>
    <s v="offc tea powder"/>
    <x v="1"/>
    <s v="Bill"/>
    <s v="Kirti"/>
    <s v="ThirdParty"/>
    <x v="1"/>
    <s v="UPI"/>
    <n v="210"/>
  </r>
  <r>
    <d v="2024-03-13T00:00:00"/>
    <s v="offc coconuts"/>
    <x v="1"/>
    <s v="voucher"/>
    <s v="Kirti"/>
    <s v="ThirdParty"/>
    <x v="1"/>
    <s v="UPI"/>
    <n v="180"/>
  </r>
  <r>
    <d v="2024-03-12T00:00:00"/>
    <s v="toll"/>
    <x v="9"/>
    <s v="Bill"/>
    <s v="Paveena"/>
    <s v="ThirdParty"/>
    <x v="1"/>
    <s v="Cash"/>
    <n v="100"/>
  </r>
  <r>
    <d v="2024-03-12T00:00:00"/>
    <s v="petrol"/>
    <x v="4"/>
    <s v="Bill"/>
    <s v="Paveena"/>
    <s v="ThirdParty"/>
    <x v="1"/>
    <s v="Cash"/>
    <n v="350"/>
  </r>
  <r>
    <d v="2024-03-13T00:00:00"/>
    <s v="offc grocery"/>
    <x v="1"/>
    <s v="Bill"/>
    <s v="Kirti"/>
    <s v="ThirdParty"/>
    <x v="1"/>
    <s v="UPI"/>
    <n v="475"/>
  </r>
  <r>
    <d v="2024-03-14T00:00:00"/>
    <s v="Spring file for office use(25 nos)"/>
    <x v="8"/>
    <s v="voucher"/>
    <s v="Pushpavathi"/>
    <s v="ThirdParty"/>
    <x v="1"/>
    <s v="UPI"/>
    <n v="430"/>
  </r>
  <r>
    <d v="2024-03-14T00:00:00"/>
    <s v="ticks medicine  belt  powder chain"/>
    <x v="6"/>
    <s v="voucher"/>
    <s v="Kirti"/>
    <s v="ThirdParty"/>
    <x v="1"/>
    <s v="UPI"/>
    <n v="870"/>
  </r>
  <r>
    <d v="2024-03-14T00:00:00"/>
    <s v="zera dog vaccination"/>
    <x v="6"/>
    <s v="voucher"/>
    <s v="Kirti"/>
    <s v="ThirdParty"/>
    <x v="1"/>
    <s v="UPI"/>
    <n v="1200"/>
  </r>
  <r>
    <d v="2024-03-15T00:00:00"/>
    <s v="n m enterprises"/>
    <x v="3"/>
    <s v="GST"/>
    <s v="XprAcnt"/>
    <s v="ThirdParty"/>
    <x v="1"/>
    <s v="Net Banking"/>
    <n v="1746"/>
  </r>
  <r>
    <d v="2024-03-15T00:00:00"/>
    <s v="bidadi visit"/>
    <x v="2"/>
    <s v="Bill"/>
    <s v="Kirti"/>
    <s v="Madhu"/>
    <x v="2"/>
    <s v="UPI"/>
    <n v="400"/>
  </r>
  <r>
    <d v="2024-03-15T00:00:00"/>
    <s v="petrol "/>
    <x v="4"/>
    <s v="Bill"/>
    <s v="Madhu"/>
    <s v="ThirdParty"/>
    <x v="1"/>
    <s v="UPI"/>
    <n v="300"/>
  </r>
  <r>
    <d v="2024-03-15T00:00:00"/>
    <s v="food "/>
    <x v="1"/>
    <s v="voucher"/>
    <s v="Madhu"/>
    <s v="ThirdParty"/>
    <x v="1"/>
    <s v="UPI"/>
    <n v="100"/>
  </r>
  <r>
    <d v="2024-03-15T00:00:00"/>
    <s v="toll"/>
    <x v="9"/>
    <s v="Bill"/>
    <s v="Madhu"/>
    <s v="ThirdParty"/>
    <x v="1"/>
    <s v="UPI"/>
    <n v="80"/>
  </r>
  <r>
    <d v="2024-03-15T00:00:00"/>
    <s v="kirlosker pump repair"/>
    <x v="10"/>
    <s v="voucher"/>
    <s v="Kirti"/>
    <s v="ThirdParty"/>
    <x v="1"/>
    <s v="UPI"/>
    <n v="1935"/>
  </r>
  <r>
    <d v="2024-03-15T00:00:00"/>
    <s v="offc grocery"/>
    <x v="1"/>
    <s v="voucher"/>
    <s v="Kirti"/>
    <s v="ThirdParty"/>
    <x v="1"/>
    <s v="UPI"/>
    <n v="15410"/>
  </r>
  <r>
    <d v="2024-03-15T00:00:00"/>
    <s v="office snacks"/>
    <x v="2"/>
    <s v="voucher"/>
    <s v="Gajanan"/>
    <s v="Sharan"/>
    <x v="2"/>
    <s v="UPI"/>
    <n v="385"/>
  </r>
  <r>
    <d v="2024-03-16T00:00:00"/>
    <s v="petrol"/>
    <x v="4"/>
    <s v="voucher"/>
    <s v="Paveena"/>
    <s v="ThirdParty"/>
    <x v="1"/>
    <s v="UPI"/>
    <n v="250"/>
  </r>
  <r>
    <d v="2024-03-16T00:00:00"/>
    <s v="syreyans to offc porter"/>
    <x v="7"/>
    <s v="voucher"/>
    <s v="Kirti"/>
    <s v="ThirdParty"/>
    <x v="1"/>
    <s v="UPI"/>
    <n v="615"/>
  </r>
  <r>
    <d v="2024-03-16T00:00:00"/>
    <s v="bhavani petrol and toll"/>
    <x v="2"/>
    <s v="voucher"/>
    <s v="Gajanan"/>
    <s v="sagar"/>
    <x v="2"/>
    <s v="UPI"/>
    <n v="280"/>
  </r>
  <r>
    <d v="2024-03-16T00:00:00"/>
    <s v="petrol"/>
    <x v="4"/>
    <s v="voucher"/>
    <s v="sagar"/>
    <s v="ThirdParty"/>
    <x v="1"/>
    <s v="UPI"/>
    <n v="200"/>
  </r>
  <r>
    <d v="2024-03-16T00:00:00"/>
    <s v="toll"/>
    <x v="9"/>
    <s v="voucher"/>
    <s v="sagar"/>
    <s v="ThirdParty"/>
    <x v="1"/>
    <s v="Cash"/>
    <n v="80"/>
  </r>
  <r>
    <d v="2024-03-16T00:00:00"/>
    <s v="electricity offc bill"/>
    <x v="2"/>
    <s v="Bill"/>
    <s v="Kirti"/>
    <s v="Madhu"/>
    <x v="2"/>
    <s v="UPI"/>
    <n v="8486"/>
  </r>
  <r>
    <d v="2024-03-16T00:00:00"/>
    <s v="electricity offc bill"/>
    <x v="11"/>
    <s v="Bill"/>
    <s v="Madhu"/>
    <s v="ThirdParty"/>
    <x v="1"/>
    <s v="UPI"/>
    <n v="8486"/>
  </r>
  <r>
    <d v="2024-03-18T00:00:00"/>
    <s v="shaft milling for ec"/>
    <x v="6"/>
    <s v="voucher"/>
    <s v="Kirti"/>
    <s v="ThirdParty"/>
    <x v="1"/>
    <s v="UPI"/>
    <n v="1100"/>
  </r>
  <r>
    <d v="2024-03-19T00:00:00"/>
    <s v="r k hardware "/>
    <x v="3"/>
    <s v="Bill"/>
    <s v="Kirti"/>
    <s v="ThirdParty"/>
    <x v="1"/>
    <s v="UPI"/>
    <n v="360"/>
  </r>
  <r>
    <d v="2024-03-19T00:00:00"/>
    <s v="curd"/>
    <x v="1"/>
    <s v="voucher"/>
    <s v="Ganesh N"/>
    <s v="ThirdParty"/>
    <x v="1"/>
    <s v="UPI"/>
    <n v="27"/>
  </r>
  <r>
    <d v="2024-03-19T00:00:00"/>
    <s v="disel for dg set"/>
    <x v="4"/>
    <s v="Bill"/>
    <s v="Kirti"/>
    <s v="ThirdParty"/>
    <x v="1"/>
    <s v="UPI"/>
    <n v="600"/>
  </r>
  <r>
    <d v="2024-03-19T00:00:00"/>
    <s v="lakahmi traders"/>
    <x v="3"/>
    <s v="GST"/>
    <s v="XprAcnt"/>
    <s v="ThirdParty"/>
    <x v="1"/>
    <s v="Net Banking"/>
    <n v="1730"/>
  </r>
  <r>
    <d v="2024-03-19T00:00:00"/>
    <s v="reimbursement"/>
    <x v="12"/>
    <s v="voucher"/>
    <s v="XprAcnt"/>
    <s v="Pushpavathi"/>
    <x v="1"/>
    <s v="Net Banking"/>
    <n v="855"/>
  </r>
  <r>
    <d v="2024-03-19T00:00:00"/>
    <s v="aarthi electronics"/>
    <x v="3"/>
    <s v="GST"/>
    <s v="XprAcnt"/>
    <s v="ThirdParty"/>
    <x v="1"/>
    <s v="Net Banking"/>
    <n v="4151"/>
  </r>
  <r>
    <d v="2024-03-19T00:00:00"/>
    <s v="shreyans industrial supplirs"/>
    <x v="3"/>
    <s v="GST"/>
    <s v="XprAcnt"/>
    <s v="ThirdParty"/>
    <x v="1"/>
    <s v="Net Banking"/>
    <n v="12998"/>
  </r>
  <r>
    <d v="2024-03-20T00:00:00"/>
    <s v="xx"/>
    <x v="2"/>
    <s v="voucher"/>
    <s v="Gajanan"/>
    <s v="Sharan"/>
    <x v="2"/>
    <s v="UPI"/>
    <n v="250"/>
  </r>
  <r>
    <d v="2024-03-20T00:00:00"/>
    <s v="bidadi bike petrol"/>
    <x v="2"/>
    <s v="Bill"/>
    <s v="Kirti"/>
    <s v="Madhu"/>
    <x v="2"/>
    <s v="UPI"/>
    <n v="300"/>
  </r>
  <r>
    <d v="2024-03-20T00:00:00"/>
    <s v="bidadi bike petrol"/>
    <x v="4"/>
    <s v="Bill"/>
    <s v="Madhu"/>
    <s v="ThirdParty"/>
    <x v="1"/>
    <s v="UPI"/>
    <n v="300"/>
  </r>
  <r>
    <d v="2024-03-20T00:00:00"/>
    <s v="bike punchar and toll"/>
    <x v="2"/>
    <s v="voucher"/>
    <s v="Kirti"/>
    <s v="Madhu"/>
    <x v="2"/>
    <s v="UPI"/>
    <n v="140"/>
  </r>
  <r>
    <d v="2024-03-20T00:00:00"/>
    <s v="bike punchar and toll"/>
    <x v="10"/>
    <s v="voucher"/>
    <s v="Madhu"/>
    <s v="ThirdParty"/>
    <x v="1"/>
    <s v="UPI"/>
    <n v="140"/>
  </r>
  <r>
    <d v="2024-03-20T00:00:00"/>
    <s v="amazon order"/>
    <x v="3"/>
    <s v="GST"/>
    <s v="Kirti"/>
    <s v="ThirdParty"/>
    <x v="1"/>
    <s v="UPI"/>
    <n v="2100"/>
  </r>
  <r>
    <d v="2024-03-20T00:00:00"/>
    <s v="roboticsdna"/>
    <x v="3"/>
    <s v="Bill"/>
    <s v="XprAcnt"/>
    <s v="ThirdParty"/>
    <x v="1"/>
    <s v="Net Banking"/>
    <n v="4085"/>
  </r>
  <r>
    <d v="2024-03-21T00:00:00"/>
    <s v="grant print "/>
    <x v="8"/>
    <s v="voucher"/>
    <s v="Kirti"/>
    <s v="ThirdParty"/>
    <x v="1"/>
    <s v="UPI"/>
    <n v="40"/>
  </r>
  <r>
    <d v="2024-03-21T00:00:00"/>
    <s v="ca to vrddhi"/>
    <x v="7"/>
    <s v="voucher"/>
    <s v="Kirti"/>
    <s v="ThirdParty"/>
    <x v="1"/>
    <s v="UPI"/>
    <n v="210"/>
  </r>
  <r>
    <d v="2024-03-21T00:00:00"/>
    <s v="ratan traders"/>
    <x v="3"/>
    <s v="GST"/>
    <s v="Kirti"/>
    <s v="ThirdParty"/>
    <x v="1"/>
    <s v="UPI"/>
    <n v="8968"/>
  </r>
  <r>
    <d v="2024-03-21T00:00:00"/>
    <s v="darshan electronics"/>
    <x v="3"/>
    <s v="GST"/>
    <s v="Kirti"/>
    <s v="ThirdParty"/>
    <x v="1"/>
    <s v="UPI"/>
    <n v="5310"/>
  </r>
  <r>
    <d v="2024-03-21T00:00:00"/>
    <s v="cable crafts"/>
    <x v="3"/>
    <s v="GST"/>
    <s v="Kirti"/>
    <s v="ThirdParty"/>
    <x v="1"/>
    <s v="UPI"/>
    <n v="1695"/>
  </r>
  <r>
    <d v="2024-03-21T00:00:00"/>
    <s v="electroface connectronics"/>
    <x v="3"/>
    <s v="GST"/>
    <s v="Kirti"/>
    <s v="ThirdParty"/>
    <x v="1"/>
    <s v="UPI"/>
    <n v="1770"/>
  </r>
  <r>
    <d v="2024-03-21T00:00:00"/>
    <s v="march net bill"/>
    <x v="13"/>
    <s v="voucher"/>
    <s v="Kirti"/>
    <s v="ThirdParty"/>
    <x v="1"/>
    <s v="UPI"/>
    <n v="1000"/>
  </r>
  <r>
    <d v="2024-03-21T00:00:00"/>
    <s v="madit infotech"/>
    <x v="3"/>
    <s v="GST"/>
    <s v="Kirti"/>
    <s v="ThirdParty"/>
    <x v="1"/>
    <s v="UPI"/>
    <n v="590"/>
  </r>
  <r>
    <d v="2024-03-21T00:00:00"/>
    <s v="screw driver "/>
    <x v="3"/>
    <s v="voucher"/>
    <s v="Sharan"/>
    <s v="ThirdParty"/>
    <x v="1"/>
    <s v="Cash"/>
    <n v="110"/>
  </r>
  <r>
    <d v="2024-03-21T00:00:00"/>
    <s v="curd"/>
    <x v="1"/>
    <s v="voucher"/>
    <s v="Ganesh N"/>
    <s v="ThirdParty"/>
    <x v="1"/>
    <s v="UPI"/>
    <n v="27"/>
  </r>
  <r>
    <d v="2024-03-21T00:00:00"/>
    <s v="tape"/>
    <x v="3"/>
    <s v="voucher"/>
    <s v="Sharan"/>
    <s v="ThirdParty"/>
    <x v="1"/>
    <s v="Cash"/>
    <n v="35"/>
  </r>
  <r>
    <d v="2024-03-22T00:00:00"/>
    <s v="petrol"/>
    <x v="4"/>
    <s v="Bill"/>
    <s v="Kirti"/>
    <s v="ThirdParty"/>
    <x v="1"/>
    <s v="UPI"/>
    <n v="500"/>
  </r>
  <r>
    <d v="2024-03-22T00:00:00"/>
    <s v="grainaling machine repair"/>
    <x v="10"/>
    <s v="voucher"/>
    <s v="Sharan"/>
    <s v="ThirdParty"/>
    <x v="1"/>
    <s v="Cash"/>
    <n v="50"/>
  </r>
  <r>
    <d v="2024-03-22T00:00:00"/>
    <s v="vijaya aqua systems"/>
    <x v="3"/>
    <s v="GST"/>
    <s v="XprAcnt"/>
    <s v="ThirdParty"/>
    <x v="1"/>
    <s v="UPI"/>
    <n v="7670"/>
  </r>
  <r>
    <d v="2024-03-22T00:00:00"/>
    <s v="net march bill"/>
    <x v="13"/>
    <s v="voucher"/>
    <s v="Kirti"/>
    <s v="ThirdParty"/>
    <x v="1"/>
    <s v="UPI"/>
    <n v="299"/>
  </r>
  <r>
    <d v="2024-03-23T00:00:00"/>
    <s v="finpuch porter form xp"/>
    <x v="7"/>
    <s v="voucher"/>
    <s v="Kirti"/>
    <s v="ThirdParty"/>
    <x v="1"/>
    <s v="UPI"/>
    <n v="465"/>
  </r>
  <r>
    <d v="2024-03-25T00:00:00"/>
    <s v="water coins"/>
    <x v="2"/>
    <s v="voucher"/>
    <s v="Kirti"/>
    <s v="Ganesh N"/>
    <x v="2"/>
    <s v="UPI"/>
    <n v="200"/>
  </r>
  <r>
    <d v="2024-03-25T00:00:00"/>
    <s v="water coins"/>
    <x v="1"/>
    <s v="voucher"/>
    <s v="Ganesh N"/>
    <s v="ThirdParty"/>
    <x v="1"/>
    <s v="UPI"/>
    <n v="200"/>
  </r>
  <r>
    <d v="2024-03-25T00:00:00"/>
    <s v="offc vegetebls"/>
    <x v="1"/>
    <s v="voucher"/>
    <s v="Kirti"/>
    <s v="ThirdParty"/>
    <x v="1"/>
    <s v="UPI"/>
    <n v="500"/>
  </r>
  <r>
    <d v="2024-03-25T00:00:00"/>
    <s v="Bread  "/>
    <x v="1"/>
    <s v="voucher"/>
    <s v="Kirti"/>
    <s v="ThirdParty"/>
    <x v="1"/>
    <s v="UPI"/>
    <n v="100"/>
  </r>
  <r>
    <d v="2024-03-26T00:00:00"/>
    <s v="petrol"/>
    <x v="4"/>
    <s v="Bill"/>
    <s v="Paveena"/>
    <s v="ThirdParty"/>
    <x v="1"/>
    <s v="UPI"/>
    <n v="210"/>
  </r>
  <r>
    <d v="2024-03-26T00:00:00"/>
    <s v="lemon"/>
    <x v="1"/>
    <s v="voucher"/>
    <s v="Sharan"/>
    <s v="ThirdParty"/>
    <x v="1"/>
    <s v="UPI"/>
    <n v="40"/>
  </r>
  <r>
    <d v="2024-03-26T00:00:00"/>
    <s v="offc snacks"/>
    <x v="1"/>
    <s v="voucher"/>
    <s v="Sharan"/>
    <s v="ThirdParty"/>
    <x v="1"/>
    <s v="UPI"/>
    <n v="75"/>
  </r>
  <r>
    <d v="2024-03-26T00:00:00"/>
    <s v="stickers"/>
    <x v="8"/>
    <s v="GST"/>
    <s v="Kirti"/>
    <s v="ThirdParty"/>
    <x v="1"/>
    <s v="UPI"/>
    <n v="3500"/>
  </r>
  <r>
    <d v="2024-03-27T00:00:00"/>
    <s v="leo rewindingand"/>
    <x v="2"/>
    <s v="Bill"/>
    <s v="XprAcnt"/>
    <s v="Kirti"/>
    <x v="2"/>
    <s v="Net Banking"/>
    <n v="5000"/>
  </r>
  <r>
    <d v="2024-03-27T00:00:00"/>
    <s v="gokarna leo pump repair"/>
    <x v="10"/>
    <s v="voucher"/>
    <s v="Kirti"/>
    <s v="ThirdParty"/>
    <x v="1"/>
    <s v="UPI"/>
    <n v="2300"/>
  </r>
  <r>
    <d v="2024-03-27T00:00:00"/>
    <s v="engineering equipment centre"/>
    <x v="3"/>
    <s v="Bill"/>
    <s v="XprAcnt"/>
    <s v="ThirdParty"/>
    <x v="1"/>
    <s v="Net Banking"/>
    <n v="5000"/>
  </r>
  <r>
    <d v="2024-03-28T00:00:00"/>
    <s v="offc snacks"/>
    <x v="1"/>
    <s v="voucher"/>
    <s v="Kirti"/>
    <s v="ThirdParty"/>
    <x v="1"/>
    <s v="UPI"/>
    <n v="185"/>
  </r>
  <r>
    <d v="2024-03-28T00:00:00"/>
    <s v="27n28 lunch"/>
    <x v="2"/>
    <s v="voucher"/>
    <s v="Kirti"/>
    <s v="Ganesh N"/>
    <x v="2"/>
    <s v="UPI"/>
    <n v="450"/>
  </r>
  <r>
    <d v="2024-03-28T00:00:00"/>
    <s v="27n28 lunch"/>
    <x v="1"/>
    <s v="voucher"/>
    <s v="Ganesh N"/>
    <s v="ThirdParty"/>
    <x v="1"/>
    <s v="UPI"/>
    <n v="450"/>
  </r>
  <r>
    <d v="2024-03-28T00:00:00"/>
    <s v="rk hardware electricals"/>
    <x v="3"/>
    <s v="GST"/>
    <s v="Kirti"/>
    <s v="ThirdParty"/>
    <x v="1"/>
    <s v="UPI"/>
    <n v="1099"/>
  </r>
  <r>
    <d v="2024-03-29T00:00:00"/>
    <s v="snacks"/>
    <x v="1"/>
    <s v="voucher"/>
    <s v="Ganesh N"/>
    <s v="ThirdParty"/>
    <x v="1"/>
    <s v="UPI"/>
    <n v="290"/>
  </r>
  <r>
    <d v="2024-03-30T00:00:00"/>
    <s v="snacks"/>
    <x v="2"/>
    <s v="voucher"/>
    <s v="Kirti"/>
    <s v="Ganesh N"/>
    <x v="2"/>
    <s v="UPI"/>
    <n v="290"/>
  </r>
  <r>
    <d v="2024-03-30T00:00:00"/>
    <s v="petrol"/>
    <x v="4"/>
    <s v="Bill"/>
    <s v="Paveena"/>
    <s v="ThirdParty"/>
    <x v="1"/>
    <s v="UPI"/>
    <n v="210"/>
  </r>
  <r>
    <d v="2024-03-30T00:00:00"/>
    <s v="egg"/>
    <x v="1"/>
    <s v="voucher"/>
    <s v="Madhu"/>
    <s v="ThirdParty"/>
    <x v="1"/>
    <s v="Cash"/>
    <n v="70"/>
  </r>
  <r>
    <d v="2024-03-31T00:00:00"/>
    <s v="curd"/>
    <x v="1"/>
    <s v="voucher"/>
    <s v="sagar"/>
    <s v="ThirdParty"/>
    <x v="1"/>
    <s v="UPI"/>
    <n v="52"/>
  </r>
  <r>
    <m/>
    <m/>
    <x v="2"/>
    <m/>
    <s v="XprAcnt"/>
    <s v="Kirti"/>
    <x v="2"/>
    <s v="Net Banking"/>
    <n v="5000"/>
  </r>
  <r>
    <m/>
    <m/>
    <x v="2"/>
    <m/>
    <s v="XprAcnt"/>
    <s v="Kirti"/>
    <x v="2"/>
    <s v="Net Banking"/>
    <n v="5000"/>
  </r>
  <r>
    <m/>
    <m/>
    <x v="2"/>
    <m/>
    <s v="XprAcnt"/>
    <s v="Kirti"/>
    <x v="2"/>
    <s v="Net Banking"/>
    <n v="5000"/>
  </r>
  <r>
    <m/>
    <m/>
    <x v="2"/>
    <m/>
    <s v="XprAcnt"/>
    <s v="Kirti"/>
    <x v="2"/>
    <s v="Net Banking"/>
    <n v="5000"/>
  </r>
  <r>
    <m/>
    <m/>
    <x v="2"/>
    <m/>
    <s v="XprAcnt"/>
    <s v="Kirti"/>
    <x v="2"/>
    <s v="Net Banking"/>
    <n v="5000"/>
  </r>
  <r>
    <m/>
    <m/>
    <x v="2"/>
    <m/>
    <s v="XprAcnt"/>
    <s v="Kirti"/>
    <x v="2"/>
    <s v="Net Banking"/>
    <n v="11000"/>
  </r>
  <r>
    <m/>
    <m/>
    <x v="2"/>
    <m/>
    <s v="XprAcnt"/>
    <s v="Kirti"/>
    <x v="2"/>
    <s v="Net Banking"/>
    <n v="3899"/>
  </r>
  <r>
    <m/>
    <m/>
    <x v="2"/>
    <m/>
    <s v="XprAcnt"/>
    <s v="Kirti"/>
    <x v="2"/>
    <s v="Net Banking"/>
    <n v="20000"/>
  </r>
  <r>
    <m/>
    <m/>
    <x v="2"/>
    <m/>
    <s v="XprAcnt"/>
    <s v="Kirti"/>
    <x v="2"/>
    <s v="Net Banking"/>
    <n v="10000"/>
  </r>
  <r>
    <m/>
    <m/>
    <x v="2"/>
    <m/>
    <s v="XprAcnt"/>
    <s v="Kirti"/>
    <x v="2"/>
    <s v="Net Banking"/>
    <n v="15000"/>
  </r>
  <r>
    <m/>
    <m/>
    <x v="2"/>
    <m/>
    <s v="XprAcnt"/>
    <s v="Kirti"/>
    <x v="2"/>
    <s v="Net Banking"/>
    <n v="10000"/>
  </r>
  <r>
    <m/>
    <m/>
    <x v="2"/>
    <m/>
    <s v="XprAcnt"/>
    <s v="Kirti"/>
    <x v="2"/>
    <s v="Net Banking"/>
    <n v="2500"/>
  </r>
  <r>
    <m/>
    <m/>
    <x v="2"/>
    <m/>
    <s v="XprAcnt"/>
    <s v="Kirti"/>
    <x v="2"/>
    <s v="Net Banking"/>
    <n v="10000"/>
  </r>
  <r>
    <m/>
    <m/>
    <x v="2"/>
    <m/>
    <s v="XprAcnt"/>
    <s v="Kirti"/>
    <x v="2"/>
    <s v="Net Banking"/>
    <n v="4500"/>
  </r>
  <r>
    <m/>
    <m/>
    <x v="2"/>
    <m/>
    <s v="XprAcnt"/>
    <s v="Kirti"/>
    <x v="2"/>
    <s v="Net Banking"/>
    <n v="25000"/>
  </r>
  <r>
    <m/>
    <m/>
    <x v="2"/>
    <m/>
    <s v="XprAcnt"/>
    <s v="Kirti"/>
    <x v="2"/>
    <s v="Net Banking"/>
    <n v="4000"/>
  </r>
  <r>
    <m/>
    <m/>
    <x v="2"/>
    <m/>
    <s v="XprAcnt"/>
    <s v="Kirti"/>
    <x v="2"/>
    <s v="Net Banking"/>
    <n v="5000"/>
  </r>
  <r>
    <m/>
    <m/>
    <x v="2"/>
    <m/>
    <s v="XprAcnt"/>
    <s v="Kirti"/>
    <x v="2"/>
    <s v="Net Banking"/>
    <n v="2000"/>
  </r>
  <r>
    <m/>
    <m/>
    <x v="2"/>
    <m/>
    <s v="XprAcnt"/>
    <s v="Kirti"/>
    <x v="2"/>
    <s v="Net Banking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CFB17-E429-42DB-AF50-6C6098D443DA}" name="PivotTable2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2" firstHeaderRow="1" firstDataRow="1" firstDataCol="1"/>
  <pivotFields count="9">
    <pivotField showAll="0"/>
    <pivotField showAll="0"/>
    <pivotField axis="axisRow" showAll="0">
      <items count="15">
        <item x="2"/>
        <item x="9"/>
        <item x="11"/>
        <item x="1"/>
        <item x="13"/>
        <item x="10"/>
        <item x="6"/>
        <item x="4"/>
        <item x="7"/>
        <item x="5"/>
        <item x="12"/>
        <item x="8"/>
        <item x="3"/>
        <item x="0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</pivotFields>
  <rowFields count="2">
    <field x="2"/>
    <field x="6"/>
  </rowFields>
  <rowItems count="29">
    <i>
      <x/>
    </i>
    <i r="1">
      <x v="1"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>
      <x v="7"/>
    </i>
    <i r="1">
      <x/>
    </i>
    <i>
      <x v="8"/>
    </i>
    <i r="1">
      <x/>
    </i>
    <i>
      <x v="9"/>
    </i>
    <i r="1">
      <x/>
    </i>
    <i>
      <x v="10"/>
    </i>
    <i r="1">
      <x/>
    </i>
    <i>
      <x v="11"/>
    </i>
    <i r="1">
      <x/>
    </i>
    <i>
      <x v="12"/>
    </i>
    <i r="1">
      <x/>
    </i>
    <i>
      <x v="13"/>
    </i>
    <i r="1">
      <x v="2"/>
    </i>
    <i t="grand">
      <x/>
    </i>
  </rowItems>
  <colItems count="1">
    <i/>
  </colItems>
  <dataFields count="1">
    <dataField name="Sum of Amou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10F429-8D79-4C8F-A767-B4446680A3B6}" name="Table5" displayName="Table5" ref="B3:N127" totalsRowShown="0" headerRowDxfId="18" dataDxfId="17">
  <tableColumns count="13">
    <tableColumn id="1" xr3:uid="{6B950242-0353-4B41-966D-927710EF7964}" name="Serial No" dataDxfId="16"/>
    <tableColumn id="2" xr3:uid="{61290260-6D98-4BD8-9FB8-BE7765EBEC9F}" name="Date" dataDxfId="15"/>
    <tableColumn id="3" xr3:uid="{298DC252-DBEC-445B-A33B-DC8F580F9EEA}" name="Item Name" dataDxfId="14"/>
    <tableColumn id="4" xr3:uid="{E1BC83D3-A32D-456E-8EFD-9F4EEE0FB842}" name="Item Type" dataDxfId="13"/>
    <tableColumn id="5" xr3:uid="{B5C017AB-6363-478D-9B24-CE4CC95DEF40}" name="Payment Category" dataDxfId="12"/>
    <tableColumn id="6" xr3:uid="{C9304874-A339-4189-B67F-EE9C40330E5F}" name="Paid By" dataDxfId="11"/>
    <tableColumn id="16" xr3:uid="{90119976-2CA3-4462-B299-BD58C829CB3E}" name="Paid To" dataDxfId="10"/>
    <tableColumn id="18" xr3:uid="{CC7B4155-E08D-4EFC-BB98-0BFDE59A7E38}" name="Transaction Category" dataDxfId="9"/>
    <tableColumn id="7" xr3:uid="{CF71DA4E-3159-485D-BB26-E073E9E24141}" name="Mode of Payment" dataDxfId="8"/>
    <tableColumn id="8" xr3:uid="{46E518D6-02CB-479B-8FEB-92AABFE55638}" name="Amount" dataDxfId="7"/>
    <tableColumn id="15" xr3:uid="{200CB953-30FF-4641-B3D3-2D070379DCCC}" name="Column1" dataDxfId="6"/>
    <tableColumn id="10" xr3:uid="{7FC7E801-A0C7-4BF7-8FCC-B9A53D5D3C2D}" name="bills" dataDxfId="5"/>
    <tableColumn id="9" xr3:uid="{F4793D09-901B-4B9F-81D2-ACEAD99B996D}" name="links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F7399-BED6-4296-8398-229185C657C7}" name="Table1" displayName="Table1" ref="E3:E8" totalsRowShown="0">
  <autoFilter ref="E3:E8" xr:uid="{31BF7399-BED6-4296-8398-229185C657C7}"/>
  <tableColumns count="1">
    <tableColumn id="1" xr3:uid="{73BD7E24-D02D-4AD5-9652-90C2BE037CAB}" name="Mode of pay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B3ED1-D5A4-40BF-B3C5-B25A65C4A64F}" name="Table2" displayName="Table2" ref="G3:G23" totalsRowShown="0">
  <autoFilter ref="G3:G23" xr:uid="{582B3ED1-D5A4-40BF-B3C5-B25A65C4A64F}"/>
  <tableColumns count="1">
    <tableColumn id="1" xr3:uid="{181888CF-DF71-4EF0-BEE2-F696055ECF6E}" name="Item 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177B7D-CEF1-4D24-9021-B0A7AA8E2A86}" name="Table3" displayName="Table3" ref="I3:I6" totalsRowShown="0">
  <autoFilter ref="I3:I6" xr:uid="{F7177B7D-CEF1-4D24-9021-B0A7AA8E2A86}"/>
  <tableColumns count="1">
    <tableColumn id="1" xr3:uid="{FAEC8241-B645-4372-B977-D83921349CF8}" name="Payment 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027E6F-9B71-438C-A522-AD75F5E999EA}" name="Table6" displayName="Table6" ref="K3:K22" totalsRowShown="0">
  <autoFilter ref="K3:K22" xr:uid="{67027E6F-9B71-438C-A522-AD75F5E999EA}"/>
  <tableColumns count="1">
    <tableColumn id="1" xr3:uid="{5155E67A-24D6-45AA-8D79-4952F1E437EA}" name="employe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C881E9-61DF-47E5-9223-327F50D6C513}" name="Table7" displayName="Table7" ref="M3:M5" totalsRowShown="0">
  <autoFilter ref="M3:M5" xr:uid="{48C881E9-61DF-47E5-9223-327F50D6C513}"/>
  <tableColumns count="1">
    <tableColumn id="1" xr3:uid="{E2619489-DC30-4223-B113-6510B2625FC4}" name="Transaction Categor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CE92BD-7581-4AED-BCD7-8EF5A755100D}" name="Table8" displayName="Table8" ref="O3:O23" totalsRowShown="0" dataDxfId="3">
  <autoFilter ref="O3:O23" xr:uid="{1ECE92BD-7581-4AED-BCD7-8EF5A755100D}"/>
  <tableColumns count="1">
    <tableColumn id="1" xr3:uid="{2E5A75A0-2CCC-427B-86BA-C712B54EF946}" name="PaidBy" dataDxfId="2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B7C6C9F-2E92-4E94-BC56-AE172F02CE1A}" name="Table9" displayName="Table9" ref="Q3:Q23" totalsRowShown="0" dataDxfId="1">
  <autoFilter ref="Q3:Q23" xr:uid="{3B7C6C9F-2E92-4E94-BC56-AE172F02CE1A}"/>
  <tableColumns count="1">
    <tableColumn id="1" xr3:uid="{E4A932B4-54D4-4D50-8C71-0CE175A17EEB}" name="PaidT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../FY%2023_24/MARCH%202024/PAID%20RECIPTS/27-03-2023%20gok%20leo%20pump%20repair%20300.jpg" TargetMode="External"/><Relationship Id="rId2" Type="http://schemas.openxmlformats.org/officeDocument/2006/relationships/hyperlink" Target="../FY%2023_24/MARCH%202024/PAID%20RECIPTS/28-03-2024%20offc%20snacks.50.jpg" TargetMode="External"/><Relationship Id="rId1" Type="http://schemas.openxmlformats.org/officeDocument/2006/relationships/hyperlink" Target="../FY%2023_24/MARCH%202024/PAID%20RECIPTS/28-03-2024%20lunch.jpg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../FY%2023_24/MARCH%202024/PAID%20RECIPTS/21-03-2024%20electroface%20connectronics%20270.jpg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BCD4-970B-482B-B9F7-47527E9CAF4B}">
  <dimension ref="A1:H11"/>
  <sheetViews>
    <sheetView workbookViewId="0">
      <selection activeCell="A14" sqref="A14"/>
    </sheetView>
  </sheetViews>
  <sheetFormatPr defaultRowHeight="14.5" x14ac:dyDescent="0.35"/>
  <cols>
    <col min="1" max="1" width="21" bestFit="1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</row>
    <row r="3" spans="1:8" x14ac:dyDescent="0.35">
      <c r="A3" t="s">
        <v>9</v>
      </c>
    </row>
    <row r="4" spans="1:8" x14ac:dyDescent="0.35">
      <c r="A4" t="s">
        <v>10</v>
      </c>
    </row>
    <row r="5" spans="1:8" x14ac:dyDescent="0.35">
      <c r="A5" t="s">
        <v>11</v>
      </c>
    </row>
    <row r="6" spans="1:8" x14ac:dyDescent="0.35">
      <c r="A6" t="s">
        <v>12</v>
      </c>
    </row>
    <row r="7" spans="1:8" x14ac:dyDescent="0.35">
      <c r="A7" t="s">
        <v>13</v>
      </c>
    </row>
    <row r="8" spans="1:8" x14ac:dyDescent="0.35">
      <c r="A8" t="s">
        <v>14</v>
      </c>
    </row>
    <row r="9" spans="1:8" x14ac:dyDescent="0.35">
      <c r="A9" t="s">
        <v>15</v>
      </c>
    </row>
    <row r="10" spans="1:8" x14ac:dyDescent="0.35">
      <c r="A10" t="s">
        <v>16</v>
      </c>
    </row>
    <row r="11" spans="1:8" x14ac:dyDescent="0.35">
      <c r="A11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CC29-407C-4A34-BFDA-0AB974B635E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AC0E5-4C3D-41AA-B7A5-01A17AB40AE5}">
  <dimension ref="A1:S168"/>
  <sheetViews>
    <sheetView topLeftCell="B3" zoomScale="66" zoomScaleNormal="66" workbookViewId="0">
      <selection activeCell="F13" sqref="F13"/>
    </sheetView>
  </sheetViews>
  <sheetFormatPr defaultColWidth="8.81640625" defaultRowHeight="23.5" x14ac:dyDescent="0.55000000000000004"/>
  <cols>
    <col min="1" max="1" width="8.81640625" style="4" hidden="1" customWidth="1"/>
    <col min="2" max="2" width="12.453125" style="4" customWidth="1"/>
    <col min="3" max="3" width="18.453125" style="4" bestFit="1" customWidth="1"/>
    <col min="4" max="4" width="26.54296875" style="4" customWidth="1"/>
    <col min="5" max="5" width="19.7265625" style="4" bestFit="1" customWidth="1"/>
    <col min="6" max="6" width="18.453125" style="4" customWidth="1"/>
    <col min="7" max="7" width="19.26953125" style="4" bestFit="1" customWidth="1"/>
    <col min="8" max="8" width="18.26953125" style="4" customWidth="1"/>
    <col min="9" max="9" width="15.7265625" style="4" customWidth="1"/>
    <col min="10" max="10" width="20.26953125" style="4" customWidth="1"/>
    <col min="11" max="11" width="16.453125" style="4" bestFit="1" customWidth="1"/>
    <col min="12" max="12" width="17.7265625" style="4" bestFit="1" customWidth="1"/>
    <col min="13" max="14" width="21.7265625" style="4" customWidth="1"/>
    <col min="15" max="15" width="11.26953125" style="4" bestFit="1" customWidth="1"/>
    <col min="16" max="16" width="21.90625" style="4" customWidth="1"/>
    <col min="17" max="17" width="8.36328125" style="4" bestFit="1" customWidth="1"/>
    <col min="18" max="18" width="8.81640625" style="4"/>
    <col min="19" max="19" width="15" style="4" customWidth="1"/>
    <col min="20" max="16384" width="8.81640625" style="4"/>
  </cols>
  <sheetData>
    <row r="1" spans="2:19" hidden="1" x14ac:dyDescent="0.55000000000000004"/>
    <row r="2" spans="2:19" hidden="1" x14ac:dyDescent="0.55000000000000004">
      <c r="B2" s="4" t="s">
        <v>28</v>
      </c>
    </row>
    <row r="3" spans="2:19" ht="47" x14ac:dyDescent="0.55000000000000004">
      <c r="B3" s="4" t="s">
        <v>50</v>
      </c>
      <c r="C3" s="4" t="s">
        <v>51</v>
      </c>
      <c r="D3" s="4" t="s">
        <v>52</v>
      </c>
      <c r="E3" s="4" t="s">
        <v>30</v>
      </c>
      <c r="F3" s="4" t="s">
        <v>31</v>
      </c>
      <c r="G3" s="4" t="s">
        <v>53</v>
      </c>
      <c r="H3" s="4" t="s">
        <v>45</v>
      </c>
      <c r="I3" s="4" t="s">
        <v>42</v>
      </c>
      <c r="J3" s="4" t="s">
        <v>54</v>
      </c>
      <c r="K3" s="4" t="s">
        <v>55</v>
      </c>
      <c r="L3" s="4" t="s">
        <v>32</v>
      </c>
      <c r="M3" s="4" t="s">
        <v>60</v>
      </c>
      <c r="N3" s="4" t="s">
        <v>18</v>
      </c>
    </row>
    <row r="4" spans="2:19" ht="42.5" x14ac:dyDescent="0.55000000000000004">
      <c r="C4" s="16">
        <v>45778</v>
      </c>
      <c r="D4" s="6" t="s">
        <v>97</v>
      </c>
      <c r="E4" s="6" t="s">
        <v>82</v>
      </c>
      <c r="F4" s="6" t="s">
        <v>26</v>
      </c>
      <c r="G4" s="6" t="s">
        <v>95</v>
      </c>
      <c r="H4" s="6" t="s">
        <v>49</v>
      </c>
      <c r="I4" s="6" t="s">
        <v>44</v>
      </c>
      <c r="J4" s="6" t="s">
        <v>19</v>
      </c>
      <c r="K4" s="6">
        <f>110+30+30+150+80+150</f>
        <v>550</v>
      </c>
      <c r="L4" s="6" t="s">
        <v>98</v>
      </c>
      <c r="M4" s="6"/>
      <c r="N4" s="6"/>
      <c r="O4" s="6"/>
      <c r="P4" s="11"/>
      <c r="Q4" s="11"/>
      <c r="R4" s="11"/>
      <c r="S4" s="11"/>
    </row>
    <row r="5" spans="2:19" x14ac:dyDescent="0.55000000000000004">
      <c r="C5" s="16">
        <v>45778</v>
      </c>
      <c r="D5" s="6" t="s">
        <v>99</v>
      </c>
      <c r="E5" s="6" t="s">
        <v>67</v>
      </c>
      <c r="F5" s="6" t="s">
        <v>27</v>
      </c>
      <c r="G5" s="6" t="s">
        <v>95</v>
      </c>
      <c r="H5" s="6" t="s">
        <v>49</v>
      </c>
      <c r="I5" s="6" t="s">
        <v>44</v>
      </c>
      <c r="J5" s="6" t="s">
        <v>19</v>
      </c>
      <c r="K5" s="6">
        <v>80</v>
      </c>
      <c r="L5" s="6" t="s">
        <v>98</v>
      </c>
      <c r="M5" s="7"/>
      <c r="N5" s="7"/>
      <c r="O5" s="6"/>
      <c r="P5" s="12" t="s">
        <v>34</v>
      </c>
      <c r="Q5" s="12">
        <f>SUMIF(Table5[Paid By],$P5,Table5[Amount])</f>
        <v>0</v>
      </c>
      <c r="R5" s="12">
        <f>SUMIF(Table5[Paid To],$P5,Table5[Amount])</f>
        <v>0</v>
      </c>
      <c r="S5" s="12">
        <f>Q5-R5</f>
        <v>0</v>
      </c>
    </row>
    <row r="6" spans="2:19" ht="42.5" x14ac:dyDescent="0.55000000000000004">
      <c r="C6" s="16">
        <v>45779</v>
      </c>
      <c r="D6" s="6" t="s">
        <v>97</v>
      </c>
      <c r="E6" s="6" t="s">
        <v>82</v>
      </c>
      <c r="F6" s="6" t="s">
        <v>26</v>
      </c>
      <c r="G6" s="6" t="s">
        <v>95</v>
      </c>
      <c r="H6" s="6" t="s">
        <v>49</v>
      </c>
      <c r="I6" s="6" t="s">
        <v>44</v>
      </c>
      <c r="J6" s="6" t="s">
        <v>19</v>
      </c>
      <c r="K6" s="6">
        <f>110+30+30+150+80+150</f>
        <v>550</v>
      </c>
      <c r="L6" s="6" t="s">
        <v>98</v>
      </c>
      <c r="M6" s="7"/>
      <c r="N6" s="7"/>
      <c r="O6" s="6"/>
      <c r="P6" s="12" t="s">
        <v>65</v>
      </c>
      <c r="Q6" s="12">
        <f>SUMIF(Table5[Paid By],$P6,Table5[Amount])</f>
        <v>0</v>
      </c>
      <c r="R6" s="12">
        <f>SUMIF(Table5[Paid To],$P6,Table5[Amount])</f>
        <v>0</v>
      </c>
      <c r="S6" s="12">
        <f t="shared" ref="S6:S12" si="0">Q6-R6</f>
        <v>0</v>
      </c>
    </row>
    <row r="7" spans="2:19" x14ac:dyDescent="0.55000000000000004">
      <c r="C7" s="16">
        <v>45780</v>
      </c>
      <c r="D7" s="6" t="s">
        <v>100</v>
      </c>
      <c r="E7" s="6" t="s">
        <v>69</v>
      </c>
      <c r="F7" s="6"/>
      <c r="G7" s="6"/>
      <c r="H7" s="6"/>
      <c r="I7" s="6"/>
      <c r="J7" s="6"/>
      <c r="K7" s="6"/>
      <c r="L7" s="6"/>
      <c r="M7" s="7"/>
      <c r="N7" s="7"/>
      <c r="O7" s="6"/>
      <c r="P7" s="12" t="s">
        <v>36</v>
      </c>
      <c r="Q7" s="12">
        <f>SUMIF(Table5[Paid By],$P7,Table5[Amount])</f>
        <v>0</v>
      </c>
      <c r="R7" s="12">
        <f>SUMIF(Table5[Paid To],$P7,Table5[Amount])</f>
        <v>0</v>
      </c>
      <c r="S7" s="12">
        <f t="shared" si="0"/>
        <v>0</v>
      </c>
    </row>
    <row r="8" spans="2:19" x14ac:dyDescent="0.55000000000000004">
      <c r="C8" s="5"/>
      <c r="D8" s="6"/>
      <c r="E8" s="6"/>
      <c r="F8" s="6"/>
      <c r="G8" s="6"/>
      <c r="H8" s="6"/>
      <c r="I8" s="6"/>
      <c r="J8" s="6"/>
      <c r="K8" s="6"/>
      <c r="L8" s="6"/>
      <c r="M8" s="7"/>
      <c r="N8" s="6"/>
      <c r="O8" s="6"/>
      <c r="P8" s="12" t="s">
        <v>37</v>
      </c>
      <c r="Q8" s="12">
        <f>SUMIF(Table5[Paid By],$P8,Table5[Amount])</f>
        <v>0</v>
      </c>
      <c r="R8" s="12">
        <f>SUMIF(Table5[Paid To],$P8,Table5[Amount])</f>
        <v>0</v>
      </c>
      <c r="S8" s="12">
        <f t="shared" si="0"/>
        <v>0</v>
      </c>
    </row>
    <row r="9" spans="2:19" x14ac:dyDescent="0.55000000000000004">
      <c r="C9" s="5"/>
      <c r="D9" s="6"/>
      <c r="E9" s="6"/>
      <c r="F9" s="6"/>
      <c r="G9" s="6"/>
      <c r="H9" s="6"/>
      <c r="I9" s="6"/>
      <c r="J9" s="6"/>
      <c r="K9" s="6"/>
      <c r="L9" s="6"/>
      <c r="M9" s="7"/>
      <c r="N9" s="7"/>
      <c r="O9" s="6"/>
      <c r="P9" s="12" t="s">
        <v>38</v>
      </c>
      <c r="Q9" s="12">
        <f>SUMIF(Table5[Paid By],$P9,Table5[Amount])</f>
        <v>0</v>
      </c>
      <c r="R9" s="12">
        <f>SUMIF(Table5[Paid To],$P9,Table5[Amount])</f>
        <v>0</v>
      </c>
      <c r="S9" s="12">
        <f t="shared" si="0"/>
        <v>0</v>
      </c>
    </row>
    <row r="10" spans="2:19" x14ac:dyDescent="0.55000000000000004">
      <c r="C10" s="5"/>
      <c r="D10" s="6"/>
      <c r="E10" s="6"/>
      <c r="F10" s="6"/>
      <c r="G10" s="6"/>
      <c r="H10" s="6"/>
      <c r="I10" s="6"/>
      <c r="J10" s="6"/>
      <c r="K10" s="6"/>
      <c r="L10" s="6"/>
      <c r="M10" s="7"/>
      <c r="N10" s="7"/>
      <c r="O10" s="6"/>
      <c r="P10" s="12" t="s">
        <v>39</v>
      </c>
      <c r="Q10" s="12">
        <f>SUMIF(Table5[Paid By],$P10,Table5[Amount])</f>
        <v>0</v>
      </c>
      <c r="R10" s="12">
        <f>SUMIF(Table5[Paid To],$P10,Table5[Amount])</f>
        <v>0</v>
      </c>
      <c r="S10" s="12">
        <f t="shared" si="0"/>
        <v>0</v>
      </c>
    </row>
    <row r="11" spans="2:19" x14ac:dyDescent="0.55000000000000004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  <c r="O11" s="6"/>
      <c r="P11" s="12" t="s">
        <v>40</v>
      </c>
      <c r="Q11" s="12">
        <f>SUMIF(Table5[Paid By],$P11,Table5[Amount])</f>
        <v>0</v>
      </c>
      <c r="R11" s="12">
        <f>SUMIF(Table5[Paid To],$P11,Table5[Amount])</f>
        <v>0</v>
      </c>
      <c r="S11" s="12">
        <f t="shared" si="0"/>
        <v>0</v>
      </c>
    </row>
    <row r="12" spans="2:19" x14ac:dyDescent="0.55000000000000004">
      <c r="C12" s="5"/>
      <c r="D12" s="6"/>
      <c r="E12" s="6"/>
      <c r="F12" s="6"/>
      <c r="G12" s="6"/>
      <c r="H12" s="6"/>
      <c r="I12" s="6"/>
      <c r="J12" s="6"/>
      <c r="K12" s="6"/>
      <c r="L12" s="6"/>
      <c r="M12" s="7"/>
      <c r="N12" s="7"/>
      <c r="O12" s="6"/>
      <c r="P12" s="12" t="s">
        <v>56</v>
      </c>
      <c r="Q12" s="12">
        <f>SUMIF(Table5[Paid By],$P12,Table5[Amount])</f>
        <v>0</v>
      </c>
      <c r="R12" s="12">
        <f>SUMIF(Table5[Paid To],$P12,Table5[Amount])</f>
        <v>0</v>
      </c>
      <c r="S12" s="12">
        <f t="shared" si="0"/>
        <v>0</v>
      </c>
    </row>
    <row r="13" spans="2:19" x14ac:dyDescent="0.55000000000000004">
      <c r="C13" s="5"/>
      <c r="D13" s="6"/>
      <c r="E13" s="6"/>
      <c r="F13" s="6"/>
      <c r="G13" s="6"/>
      <c r="H13" s="6"/>
      <c r="I13" s="6"/>
      <c r="J13" s="6"/>
      <c r="K13" s="6"/>
      <c r="L13" s="6"/>
      <c r="M13" s="7"/>
      <c r="N13" s="7"/>
      <c r="O13" s="6"/>
      <c r="P13" s="12" t="s">
        <v>59</v>
      </c>
      <c r="Q13" s="12">
        <f>SUMIF(Table5[Paid By],$P13,Table5[Amount])</f>
        <v>0</v>
      </c>
      <c r="R13" s="12">
        <f>SUMIF(Table5[Paid To],$P13,Table5[Amount])</f>
        <v>0</v>
      </c>
      <c r="S13" s="12">
        <f>Q13-R13</f>
        <v>0</v>
      </c>
    </row>
    <row r="14" spans="2:19" x14ac:dyDescent="0.55000000000000004">
      <c r="C14" s="5"/>
      <c r="D14" s="6"/>
      <c r="E14" s="6"/>
      <c r="F14" s="6"/>
      <c r="G14" s="6"/>
      <c r="H14" s="6"/>
      <c r="I14" s="6"/>
      <c r="J14" s="6"/>
      <c r="K14" s="6"/>
      <c r="L14" s="6"/>
      <c r="M14" s="7"/>
      <c r="N14" s="9"/>
      <c r="O14" s="6"/>
      <c r="P14" s="12" t="s">
        <v>88</v>
      </c>
      <c r="Q14" s="12">
        <f>SUMIF(Table5[Paid By],$P14,Table5[Amount])</f>
        <v>0</v>
      </c>
      <c r="R14" s="12">
        <f>SUMIF(Table5[Paid To],$P14,Table5[Amount])</f>
        <v>0</v>
      </c>
      <c r="S14" s="12">
        <f>Q14-R14</f>
        <v>0</v>
      </c>
    </row>
    <row r="15" spans="2:19" x14ac:dyDescent="0.55000000000000004">
      <c r="C15" s="5"/>
      <c r="D15" s="6"/>
      <c r="E15" s="6"/>
      <c r="F15" s="6"/>
      <c r="G15" s="6"/>
      <c r="H15" s="6"/>
      <c r="I15" s="6"/>
      <c r="J15" s="6"/>
      <c r="K15" s="6"/>
      <c r="L15" s="6"/>
      <c r="M15" s="7"/>
      <c r="N15" s="6"/>
      <c r="O15" s="6"/>
      <c r="P15" s="12" t="s">
        <v>87</v>
      </c>
      <c r="Q15" s="12">
        <f>SUMIF(Table5[Paid By],$P15,Table5[Amount])</f>
        <v>0</v>
      </c>
      <c r="R15" s="12">
        <f>SUMIF(Table5[Paid To],$P15,Table5[Amount])</f>
        <v>0</v>
      </c>
      <c r="S15" s="12">
        <f>Q15-R15</f>
        <v>0</v>
      </c>
    </row>
    <row r="16" spans="2:19" ht="46.5" customHeight="1" x14ac:dyDescent="0.55000000000000004">
      <c r="C16" s="5"/>
      <c r="D16" s="6"/>
      <c r="E16" s="6"/>
      <c r="F16" s="6"/>
      <c r="G16" s="6"/>
      <c r="H16" s="6"/>
      <c r="I16" s="6"/>
      <c r="J16" s="6"/>
      <c r="K16" s="6"/>
      <c r="L16" s="6"/>
      <c r="M16" s="7"/>
      <c r="N16" s="8"/>
      <c r="O16" s="6"/>
      <c r="P16" s="12" t="s">
        <v>91</v>
      </c>
      <c r="Q16" s="12">
        <f>SUMIF(Table5[Paid By],$P16,Table5[Amount])</f>
        <v>0</v>
      </c>
      <c r="R16" s="12">
        <f>SUMIF(Table5[Paid To],$P16,Table5[Amount])</f>
        <v>0</v>
      </c>
      <c r="S16" s="12">
        <f t="shared" ref="S16:S17" si="1">Q16-R16</f>
        <v>0</v>
      </c>
    </row>
    <row r="17" spans="3:19" x14ac:dyDescent="0.55000000000000004">
      <c r="C17" s="5"/>
      <c r="D17" s="6"/>
      <c r="E17" s="6"/>
      <c r="F17" s="6"/>
      <c r="G17" s="6"/>
      <c r="H17" s="6"/>
      <c r="I17" s="6"/>
      <c r="J17" s="6"/>
      <c r="K17" s="6"/>
      <c r="L17" s="6"/>
      <c r="M17" s="9"/>
      <c r="N17" s="8"/>
      <c r="O17" s="6"/>
      <c r="P17" s="12" t="s">
        <v>92</v>
      </c>
      <c r="Q17" s="12">
        <f>SUMIF(Table5[Paid By],$P17,Table5[Amount])</f>
        <v>0</v>
      </c>
      <c r="R17" s="12">
        <f>SUMIF(Table5[Paid To],$P17,Table5[Amount])</f>
        <v>0</v>
      </c>
      <c r="S17" s="12">
        <f t="shared" si="1"/>
        <v>0</v>
      </c>
    </row>
    <row r="18" spans="3:19" x14ac:dyDescent="0.55000000000000004">
      <c r="C18" s="5"/>
      <c r="D18" s="6"/>
      <c r="E18" s="6"/>
      <c r="F18" s="6"/>
      <c r="G18" s="6"/>
      <c r="H18" s="6"/>
      <c r="I18" s="6"/>
      <c r="J18" s="6"/>
      <c r="K18" s="6"/>
      <c r="L18" s="6"/>
      <c r="M18" s="7"/>
      <c r="N18" s="10"/>
      <c r="O18" s="6"/>
      <c r="P18" s="6"/>
      <c r="Q18" s="6"/>
      <c r="R18" s="6"/>
      <c r="S18" s="6"/>
    </row>
    <row r="19" spans="3:19" x14ac:dyDescent="0.55000000000000004">
      <c r="C19" s="5"/>
      <c r="D19" s="6"/>
      <c r="E19" s="6"/>
      <c r="F19" s="6"/>
      <c r="G19" s="6"/>
      <c r="H19" s="6"/>
      <c r="I19" s="6"/>
      <c r="J19" s="6"/>
      <c r="K19" s="6"/>
      <c r="L19" s="6"/>
      <c r="M19" s="9"/>
      <c r="N19" s="10"/>
      <c r="O19" s="6"/>
      <c r="P19" s="6"/>
      <c r="Q19" s="6"/>
      <c r="R19" s="6"/>
      <c r="S19" s="6"/>
    </row>
    <row r="20" spans="3:19" x14ac:dyDescent="0.55000000000000004">
      <c r="C20" s="5"/>
      <c r="D20" s="6"/>
      <c r="E20" s="6"/>
      <c r="F20" s="6"/>
      <c r="G20" s="6"/>
      <c r="H20" s="6"/>
      <c r="I20" s="6"/>
      <c r="J20" s="6"/>
      <c r="K20" s="6"/>
      <c r="L20" s="6"/>
      <c r="M20" s="7"/>
      <c r="N20" s="7"/>
      <c r="O20" s="6"/>
      <c r="P20" s="6"/>
      <c r="Q20" s="6"/>
      <c r="R20" s="6"/>
      <c r="S20" s="6"/>
    </row>
    <row r="21" spans="3:19" x14ac:dyDescent="0.55000000000000004">
      <c r="C21" s="5"/>
      <c r="D21" s="6"/>
      <c r="E21" s="6"/>
      <c r="F21" s="6"/>
      <c r="G21" s="6"/>
      <c r="H21" s="6"/>
      <c r="I21" s="6"/>
      <c r="J21" s="6"/>
      <c r="K21" s="6"/>
      <c r="L21" s="6"/>
      <c r="M21" s="8"/>
      <c r="N21" s="7"/>
      <c r="O21" s="6"/>
      <c r="P21" s="6"/>
      <c r="Q21" s="6"/>
      <c r="R21" s="6"/>
      <c r="S21" s="6"/>
    </row>
    <row r="22" spans="3:19" x14ac:dyDescent="0.55000000000000004">
      <c r="C22" s="5"/>
      <c r="D22" s="6"/>
      <c r="E22" s="6"/>
      <c r="F22" s="6"/>
      <c r="G22" s="6"/>
      <c r="H22" s="6"/>
      <c r="I22" s="6"/>
      <c r="J22" s="6"/>
      <c r="K22" s="6"/>
      <c r="L22" s="6"/>
      <c r="M22" s="7"/>
      <c r="N22" s="6"/>
      <c r="O22" s="6"/>
      <c r="P22" s="6"/>
      <c r="Q22" s="6"/>
      <c r="R22" s="6"/>
      <c r="S22" s="6"/>
    </row>
    <row r="23" spans="3:19" x14ac:dyDescent="0.55000000000000004">
      <c r="C23" s="5"/>
      <c r="D23" s="6"/>
      <c r="E23" s="6"/>
      <c r="F23" s="6"/>
      <c r="G23" s="6"/>
      <c r="H23" s="6"/>
      <c r="I23" s="6"/>
      <c r="J23" s="6"/>
      <c r="K23" s="6"/>
      <c r="L23" s="6"/>
      <c r="M23" s="8"/>
      <c r="N23" s="7"/>
      <c r="O23" s="6"/>
      <c r="P23" s="6"/>
      <c r="Q23" s="6"/>
      <c r="R23" s="6"/>
      <c r="S23" s="6"/>
    </row>
    <row r="24" spans="3:19" x14ac:dyDescent="0.55000000000000004">
      <c r="C24" s="5"/>
      <c r="D24" s="6"/>
      <c r="E24" s="6"/>
      <c r="F24" s="6"/>
      <c r="G24" s="6"/>
      <c r="H24" s="6"/>
      <c r="I24" s="6"/>
      <c r="J24" s="6"/>
      <c r="K24" s="6"/>
      <c r="L24" s="6"/>
      <c r="M24" s="8"/>
      <c r="N24" s="7"/>
      <c r="O24" s="6"/>
      <c r="P24" s="6"/>
      <c r="Q24" s="6"/>
      <c r="R24" s="6"/>
      <c r="S24" s="6"/>
    </row>
    <row r="25" spans="3:19" x14ac:dyDescent="0.55000000000000004">
      <c r="C25" s="5"/>
      <c r="D25" s="6"/>
      <c r="E25" s="6"/>
      <c r="F25" s="6"/>
      <c r="G25" s="6"/>
      <c r="H25" s="6"/>
      <c r="I25" s="6"/>
      <c r="J25" s="6"/>
      <c r="K25" s="6"/>
      <c r="L25" s="6"/>
      <c r="M25" s="7"/>
      <c r="N25" s="7"/>
      <c r="O25" s="6"/>
      <c r="P25" s="6"/>
      <c r="Q25" s="6"/>
      <c r="R25" s="6"/>
      <c r="S25" s="6"/>
    </row>
    <row r="26" spans="3:19" x14ac:dyDescent="0.55000000000000004">
      <c r="C26" s="5"/>
      <c r="D26" s="6"/>
      <c r="E26" s="6"/>
      <c r="F26" s="6"/>
      <c r="G26" s="6"/>
      <c r="H26" s="6"/>
      <c r="I26" s="6"/>
      <c r="J26" s="6"/>
      <c r="K26" s="6"/>
      <c r="L26" s="6"/>
      <c r="M26" s="7"/>
      <c r="N26" s="7"/>
      <c r="O26" s="6"/>
      <c r="P26" s="6"/>
      <c r="Q26" s="6"/>
      <c r="R26" s="6"/>
      <c r="S26" s="6"/>
    </row>
    <row r="27" spans="3:19" x14ac:dyDescent="0.55000000000000004">
      <c r="C27" s="5"/>
      <c r="D27" s="6"/>
      <c r="E27" s="6"/>
      <c r="F27" s="6"/>
      <c r="G27" s="6"/>
      <c r="H27" s="6"/>
      <c r="I27" s="6"/>
      <c r="J27" s="6"/>
      <c r="K27" s="6"/>
      <c r="L27" s="6"/>
      <c r="M27" s="8"/>
      <c r="N27" s="6"/>
      <c r="O27" s="6"/>
      <c r="P27" s="6"/>
      <c r="Q27" s="6"/>
      <c r="R27" s="6"/>
      <c r="S27" s="6"/>
    </row>
    <row r="28" spans="3:19" x14ac:dyDescent="0.55000000000000004">
      <c r="C28" s="5"/>
      <c r="D28" s="6"/>
      <c r="E28" s="6"/>
      <c r="F28" s="6"/>
      <c r="G28" s="6"/>
      <c r="H28" s="6"/>
      <c r="I28" s="6"/>
      <c r="J28" s="6"/>
      <c r="K28" s="6"/>
      <c r="L28" s="6"/>
      <c r="M28" s="7"/>
      <c r="N28" s="7"/>
      <c r="O28" s="6"/>
      <c r="P28" s="6"/>
      <c r="Q28" s="6"/>
      <c r="R28" s="6"/>
      <c r="S28" s="6"/>
    </row>
    <row r="29" spans="3:19" x14ac:dyDescent="0.55000000000000004">
      <c r="C29" s="5"/>
      <c r="D29" s="6"/>
      <c r="E29" s="6"/>
      <c r="F29" s="6"/>
      <c r="G29" s="6"/>
      <c r="H29" s="6"/>
      <c r="I29" s="6"/>
      <c r="J29" s="6"/>
      <c r="K29" s="6"/>
      <c r="L29" s="6"/>
      <c r="M29" s="9"/>
      <c r="N29" s="9"/>
      <c r="O29" s="6"/>
      <c r="P29" s="6"/>
      <c r="Q29" s="6"/>
      <c r="R29" s="6"/>
      <c r="S29" s="6"/>
    </row>
    <row r="30" spans="3:19" x14ac:dyDescent="0.55000000000000004">
      <c r="C30" s="5"/>
      <c r="D30" s="6"/>
      <c r="E30" s="6"/>
      <c r="F30" s="6"/>
      <c r="G30" s="6"/>
      <c r="H30" s="6"/>
      <c r="I30" s="6"/>
      <c r="J30" s="6"/>
      <c r="K30" s="6"/>
      <c r="L30" s="6"/>
      <c r="M30" s="7"/>
      <c r="N30" s="7"/>
      <c r="O30" s="6"/>
      <c r="P30" s="6"/>
      <c r="Q30" s="6"/>
      <c r="R30" s="6"/>
      <c r="S30" s="6"/>
    </row>
    <row r="31" spans="3:19" x14ac:dyDescent="0.55000000000000004">
      <c r="C31" s="5"/>
      <c r="D31" s="6"/>
      <c r="E31" s="6"/>
      <c r="F31" s="6"/>
      <c r="G31" s="6"/>
      <c r="H31" s="6"/>
      <c r="I31" s="6"/>
      <c r="J31" s="6"/>
      <c r="K31" s="6"/>
      <c r="L31" s="6"/>
      <c r="M31" s="8"/>
      <c r="N31" s="7"/>
      <c r="O31" s="6"/>
      <c r="P31" s="6"/>
      <c r="Q31" s="6"/>
      <c r="R31" s="6"/>
      <c r="S31" s="6"/>
    </row>
    <row r="32" spans="3:19" x14ac:dyDescent="0.55000000000000004">
      <c r="C32" s="5"/>
      <c r="D32" s="6"/>
      <c r="E32" s="6"/>
      <c r="F32" s="6"/>
      <c r="G32" s="6"/>
      <c r="H32" s="6"/>
      <c r="I32" s="6"/>
      <c r="J32" s="6"/>
      <c r="K32" s="6"/>
      <c r="L32" s="6"/>
      <c r="M32" s="10"/>
      <c r="N32" s="9"/>
      <c r="O32" s="6"/>
      <c r="P32" s="6"/>
      <c r="Q32" s="6"/>
      <c r="R32" s="6"/>
      <c r="S32" s="6"/>
    </row>
    <row r="33" spans="3:19" x14ac:dyDescent="0.55000000000000004">
      <c r="C33" s="5"/>
      <c r="D33" s="6"/>
      <c r="E33" s="6"/>
      <c r="F33" s="6"/>
      <c r="G33" s="6"/>
      <c r="H33" s="6"/>
      <c r="I33" s="6"/>
      <c r="J33" s="6"/>
      <c r="K33" s="6"/>
      <c r="L33" s="6"/>
      <c r="M33" s="7"/>
      <c r="N33" s="7"/>
      <c r="O33" s="6"/>
      <c r="P33" s="6"/>
      <c r="Q33" s="6"/>
      <c r="R33" s="6"/>
      <c r="S33" s="6"/>
    </row>
    <row r="34" spans="3:19" x14ac:dyDescent="0.55000000000000004">
      <c r="C34" s="5"/>
      <c r="D34" s="6"/>
      <c r="E34" s="6"/>
      <c r="F34" s="6"/>
      <c r="G34" s="6"/>
      <c r="H34" s="6"/>
      <c r="I34" s="6"/>
      <c r="J34" s="6"/>
      <c r="K34" s="6"/>
      <c r="L34" s="6"/>
      <c r="M34" s="7"/>
      <c r="N34" s="7"/>
      <c r="O34" s="6"/>
      <c r="P34" s="6"/>
      <c r="Q34" s="6"/>
      <c r="R34" s="6"/>
      <c r="S34" s="6"/>
    </row>
    <row r="35" spans="3:19" x14ac:dyDescent="0.55000000000000004">
      <c r="C35" s="5"/>
      <c r="D35" s="6"/>
      <c r="E35" s="6"/>
      <c r="F35" s="6"/>
      <c r="G35" s="6"/>
      <c r="H35" s="6"/>
      <c r="I35" s="6"/>
      <c r="J35" s="6"/>
      <c r="K35" s="6"/>
      <c r="L35" s="6"/>
      <c r="M35" s="7"/>
      <c r="N35" s="7"/>
      <c r="O35" s="6"/>
      <c r="P35" s="6"/>
      <c r="Q35" s="6"/>
      <c r="R35" s="6"/>
      <c r="S35" s="6"/>
    </row>
    <row r="36" spans="3:19" x14ac:dyDescent="0.55000000000000004">
      <c r="C36" s="5"/>
      <c r="D36" s="6"/>
      <c r="E36" s="6"/>
      <c r="F36" s="6"/>
      <c r="G36" s="6"/>
      <c r="H36" s="6"/>
      <c r="I36" s="6"/>
      <c r="J36" s="6"/>
      <c r="K36" s="6"/>
      <c r="L36" s="6"/>
      <c r="M36" s="7"/>
      <c r="N36" s="7"/>
      <c r="O36" s="6"/>
      <c r="P36" s="6"/>
      <c r="Q36" s="6"/>
      <c r="R36" s="6"/>
      <c r="S36" s="6"/>
    </row>
    <row r="37" spans="3:19" x14ac:dyDescent="0.55000000000000004">
      <c r="C37" s="5"/>
      <c r="D37" s="6"/>
      <c r="E37" s="6"/>
      <c r="F37" s="6"/>
      <c r="G37" s="6"/>
      <c r="H37" s="6"/>
      <c r="I37" s="6"/>
      <c r="J37" s="6"/>
      <c r="K37" s="6"/>
      <c r="L37" s="6"/>
      <c r="M37" s="7"/>
      <c r="N37" s="9"/>
      <c r="O37" s="6"/>
      <c r="P37" s="6"/>
      <c r="Q37" s="6"/>
      <c r="R37" s="6"/>
      <c r="S37" s="6"/>
    </row>
    <row r="38" spans="3:19" x14ac:dyDescent="0.55000000000000004">
      <c r="C38" s="5"/>
      <c r="D38" s="6"/>
      <c r="E38" s="6"/>
      <c r="F38" s="6"/>
      <c r="G38" s="6"/>
      <c r="H38" s="6"/>
      <c r="I38" s="6"/>
      <c r="J38" s="6"/>
      <c r="K38" s="6"/>
      <c r="L38" s="6"/>
      <c r="M38" s="7"/>
      <c r="N38" s="9"/>
      <c r="O38" s="6"/>
      <c r="P38" s="6"/>
      <c r="Q38" s="6"/>
      <c r="R38" s="6"/>
      <c r="S38" s="6"/>
    </row>
    <row r="39" spans="3:19" x14ac:dyDescent="0.55000000000000004">
      <c r="C39" s="5"/>
      <c r="D39" s="6"/>
      <c r="E39" s="6"/>
      <c r="F39" s="6"/>
      <c r="G39" s="6"/>
      <c r="H39" s="6"/>
      <c r="I39" s="6"/>
      <c r="J39" s="6"/>
      <c r="K39" s="6"/>
      <c r="L39" s="6"/>
      <c r="M39" s="8"/>
      <c r="N39" s="7"/>
      <c r="O39" s="6"/>
      <c r="P39" s="6"/>
      <c r="Q39" s="6"/>
      <c r="R39" s="6"/>
      <c r="S39" s="6"/>
    </row>
    <row r="40" spans="3:19" x14ac:dyDescent="0.55000000000000004">
      <c r="C40" s="5"/>
      <c r="D40" s="6"/>
      <c r="E40" s="6"/>
      <c r="F40" s="6"/>
      <c r="G40" s="6"/>
      <c r="H40" s="6"/>
      <c r="I40" s="6"/>
      <c r="J40" s="6"/>
      <c r="K40" s="6"/>
      <c r="L40" s="6"/>
      <c r="M40" s="7"/>
      <c r="N40" s="8"/>
      <c r="O40" s="6"/>
      <c r="P40" s="6"/>
      <c r="Q40" s="6"/>
      <c r="R40" s="6"/>
      <c r="S40" s="6"/>
    </row>
    <row r="41" spans="3:19" x14ac:dyDescent="0.55000000000000004">
      <c r="C41" s="5"/>
      <c r="D41" s="6"/>
      <c r="E41" s="6"/>
      <c r="F41" s="6"/>
      <c r="G41" s="6"/>
      <c r="H41" s="6"/>
      <c r="I41" s="6"/>
      <c r="J41" s="6"/>
      <c r="K41" s="6"/>
      <c r="L41" s="6"/>
      <c r="M41" s="7"/>
      <c r="N41" s="7"/>
      <c r="O41" s="6"/>
      <c r="P41" s="6"/>
      <c r="Q41" s="6"/>
      <c r="R41" s="6"/>
      <c r="S41" s="6"/>
    </row>
    <row r="42" spans="3:19" x14ac:dyDescent="0.55000000000000004">
      <c r="C42" s="5"/>
      <c r="D42" s="6"/>
      <c r="E42" s="6"/>
      <c r="F42" s="6"/>
      <c r="G42" s="6"/>
      <c r="H42" s="6"/>
      <c r="I42" s="6"/>
      <c r="J42" s="6"/>
      <c r="K42" s="6"/>
      <c r="L42" s="6"/>
      <c r="M42" s="7"/>
      <c r="N42" s="7"/>
      <c r="O42" s="6"/>
      <c r="P42" s="6"/>
      <c r="Q42" s="6"/>
      <c r="R42" s="6"/>
      <c r="S42" s="6"/>
    </row>
    <row r="43" spans="3:19" x14ac:dyDescent="0.55000000000000004">
      <c r="C43" s="5"/>
      <c r="D43" s="6"/>
      <c r="E43" s="6"/>
      <c r="F43" s="6"/>
      <c r="G43" s="6"/>
      <c r="H43" s="6"/>
      <c r="I43" s="6"/>
      <c r="J43" s="6"/>
      <c r="K43" s="6"/>
      <c r="L43" s="6"/>
      <c r="M43" s="8"/>
      <c r="N43" s="7"/>
      <c r="O43" s="6"/>
      <c r="P43" s="6"/>
      <c r="Q43" s="6"/>
      <c r="R43" s="6"/>
      <c r="S43" s="6"/>
    </row>
    <row r="44" spans="3:19" x14ac:dyDescent="0.55000000000000004">
      <c r="C44" s="5"/>
      <c r="D44" s="6"/>
      <c r="E44" s="6"/>
      <c r="F44" s="6"/>
      <c r="G44" s="6"/>
      <c r="H44" s="6"/>
      <c r="I44" s="6"/>
      <c r="J44" s="6"/>
      <c r="K44" s="6"/>
      <c r="L44" s="6"/>
      <c r="M44" s="10"/>
      <c r="N44" s="9"/>
      <c r="O44" s="6"/>
      <c r="P44" s="6"/>
      <c r="Q44" s="6"/>
      <c r="R44" s="6"/>
      <c r="S44" s="6"/>
    </row>
    <row r="45" spans="3:19" x14ac:dyDescent="0.55000000000000004">
      <c r="C45" s="5"/>
      <c r="D45" s="6"/>
      <c r="E45" s="6"/>
      <c r="F45" s="6"/>
      <c r="G45" s="6"/>
      <c r="H45" s="6"/>
      <c r="I45" s="6"/>
      <c r="J45" s="6"/>
      <c r="K45" s="6"/>
      <c r="L45" s="6"/>
      <c r="M45" s="7"/>
      <c r="N45" s="6"/>
      <c r="O45" s="6"/>
      <c r="P45" s="6"/>
      <c r="Q45" s="6"/>
      <c r="R45" s="6"/>
      <c r="S45" s="6"/>
    </row>
    <row r="46" spans="3:19" x14ac:dyDescent="0.55000000000000004">
      <c r="C46" s="5"/>
      <c r="D46" s="6"/>
      <c r="E46" s="6"/>
      <c r="F46" s="6"/>
      <c r="G46" s="6"/>
      <c r="H46" s="6"/>
      <c r="I46" s="6"/>
      <c r="J46" s="6"/>
      <c r="K46" s="6"/>
      <c r="L46" s="6"/>
      <c r="M46" s="8"/>
      <c r="N46" s="6"/>
      <c r="O46" s="6"/>
      <c r="P46" s="6"/>
      <c r="Q46" s="6"/>
      <c r="R46" s="6"/>
      <c r="S46" s="6"/>
    </row>
    <row r="47" spans="3:19" x14ac:dyDescent="0.55000000000000004">
      <c r="C47" s="5"/>
      <c r="D47" s="6"/>
      <c r="E47" s="6"/>
      <c r="F47" s="6"/>
      <c r="G47" s="6"/>
      <c r="H47" s="6"/>
      <c r="I47" s="6"/>
      <c r="J47" s="6"/>
      <c r="K47" s="6"/>
      <c r="L47" s="6"/>
      <c r="M47" s="7"/>
      <c r="N47" s="6"/>
      <c r="O47" s="6"/>
      <c r="P47" s="6"/>
      <c r="Q47" s="6"/>
      <c r="R47" s="6"/>
      <c r="S47" s="6"/>
    </row>
    <row r="48" spans="3:19" x14ac:dyDescent="0.55000000000000004">
      <c r="C48" s="5"/>
      <c r="D48" s="6"/>
      <c r="E48" s="6"/>
      <c r="F48" s="6"/>
      <c r="G48" s="6"/>
      <c r="H48" s="6"/>
      <c r="I48" s="6"/>
      <c r="J48" s="6"/>
      <c r="K48" s="6"/>
      <c r="L48" s="6"/>
      <c r="M48" s="8"/>
      <c r="N48" s="7"/>
      <c r="O48" s="6"/>
      <c r="P48" s="6"/>
      <c r="Q48" s="6"/>
      <c r="R48" s="6"/>
      <c r="S48" s="6"/>
    </row>
    <row r="49" spans="3:19" x14ac:dyDescent="0.55000000000000004">
      <c r="C49" s="5"/>
      <c r="D49" s="6"/>
      <c r="E49" s="6"/>
      <c r="F49" s="6"/>
      <c r="G49" s="6"/>
      <c r="H49" s="6"/>
      <c r="I49" s="6"/>
      <c r="J49" s="6"/>
      <c r="K49" s="6"/>
      <c r="L49" s="6"/>
      <c r="M49" s="8"/>
      <c r="N49" s="7"/>
      <c r="O49" s="6"/>
      <c r="P49" s="6"/>
      <c r="Q49" s="6"/>
      <c r="R49" s="6"/>
      <c r="S49" s="6"/>
    </row>
    <row r="50" spans="3:19" x14ac:dyDescent="0.55000000000000004">
      <c r="C50" s="5"/>
      <c r="D50" s="6"/>
      <c r="E50" s="6"/>
      <c r="F50" s="6"/>
      <c r="G50" s="6"/>
      <c r="H50" s="6"/>
      <c r="I50" s="6"/>
      <c r="J50" s="6"/>
      <c r="K50" s="6"/>
      <c r="L50" s="6"/>
      <c r="M50" s="10"/>
      <c r="N50" s="9"/>
      <c r="O50" s="6"/>
      <c r="P50" s="6"/>
      <c r="Q50" s="6"/>
      <c r="R50" s="6"/>
      <c r="S50" s="6"/>
    </row>
    <row r="51" spans="3:19" x14ac:dyDescent="0.55000000000000004">
      <c r="C51" s="5"/>
      <c r="D51" s="6"/>
      <c r="E51" s="6"/>
      <c r="F51" s="6"/>
      <c r="G51" s="6"/>
      <c r="H51" s="6"/>
      <c r="I51" s="6"/>
      <c r="J51" s="6"/>
      <c r="K51" s="6"/>
      <c r="L51" s="6"/>
      <c r="M51" s="8"/>
      <c r="N51" s="7"/>
      <c r="O51" s="6"/>
      <c r="P51" s="6"/>
      <c r="Q51" s="6"/>
      <c r="R51" s="6"/>
      <c r="S51" s="6"/>
    </row>
    <row r="52" spans="3:19" x14ac:dyDescent="0.55000000000000004">
      <c r="C52" s="5"/>
      <c r="D52" s="6"/>
      <c r="E52" s="6"/>
      <c r="F52" s="6"/>
      <c r="G52" s="6"/>
      <c r="H52" s="6"/>
      <c r="I52" s="6"/>
      <c r="J52" s="6"/>
      <c r="K52" s="6"/>
      <c r="L52" s="6"/>
      <c r="M52" s="7"/>
      <c r="N52" s="7"/>
      <c r="O52" s="6"/>
      <c r="P52" s="6"/>
      <c r="Q52" s="6"/>
      <c r="R52" s="6"/>
      <c r="S52" s="6"/>
    </row>
    <row r="53" spans="3:19" x14ac:dyDescent="0.55000000000000004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7"/>
      <c r="O53" s="6"/>
      <c r="P53" s="6"/>
      <c r="Q53" s="6"/>
      <c r="R53" s="6"/>
      <c r="S53" s="6"/>
    </row>
    <row r="54" spans="3:19" x14ac:dyDescent="0.55000000000000004">
      <c r="C54" s="5"/>
      <c r="D54" s="6"/>
      <c r="E54" s="6"/>
      <c r="F54" s="6"/>
      <c r="G54" s="6"/>
      <c r="H54" s="6"/>
      <c r="I54" s="6"/>
      <c r="J54" s="6"/>
      <c r="K54" s="6"/>
      <c r="L54" s="6"/>
      <c r="M54" s="7"/>
      <c r="N54" s="7"/>
      <c r="O54" s="6"/>
      <c r="P54" s="6"/>
      <c r="Q54" s="6"/>
      <c r="R54" s="6"/>
      <c r="S54" s="6"/>
    </row>
    <row r="55" spans="3:19" x14ac:dyDescent="0.55000000000000004">
      <c r="C55" s="5"/>
      <c r="D55" s="6"/>
      <c r="E55" s="6"/>
      <c r="F55" s="6"/>
      <c r="G55" s="6"/>
      <c r="H55" s="6"/>
      <c r="I55" s="6"/>
      <c r="J55" s="6"/>
      <c r="K55" s="6"/>
      <c r="L55" s="6"/>
      <c r="M55" s="7"/>
      <c r="N55" s="9"/>
      <c r="O55" s="6"/>
      <c r="P55" s="6"/>
      <c r="Q55" s="6"/>
      <c r="R55" s="6"/>
      <c r="S55" s="6"/>
    </row>
    <row r="56" spans="3:19" x14ac:dyDescent="0.55000000000000004">
      <c r="C56" s="5"/>
      <c r="D56" s="6"/>
      <c r="E56" s="6"/>
      <c r="F56" s="6"/>
      <c r="G56" s="6"/>
      <c r="H56" s="6"/>
      <c r="I56" s="6"/>
      <c r="J56" s="6"/>
      <c r="K56" s="6"/>
      <c r="L56" s="7"/>
      <c r="M56" s="7"/>
      <c r="N56" s="7"/>
      <c r="O56" s="6"/>
      <c r="P56" s="6"/>
      <c r="Q56" s="6"/>
      <c r="R56" s="6"/>
      <c r="S56" s="6"/>
    </row>
    <row r="57" spans="3:19" x14ac:dyDescent="0.55000000000000004">
      <c r="C57" s="5"/>
      <c r="D57" s="6"/>
      <c r="E57" s="6"/>
      <c r="F57" s="6"/>
      <c r="G57" s="6"/>
      <c r="H57" s="6"/>
      <c r="I57" s="6"/>
      <c r="J57" s="6"/>
      <c r="K57" s="6"/>
      <c r="L57" s="6"/>
      <c r="M57" s="7"/>
      <c r="N57" s="9"/>
      <c r="O57" s="6"/>
      <c r="P57" s="6"/>
      <c r="Q57" s="6"/>
      <c r="R57" s="6"/>
      <c r="S57" s="6"/>
    </row>
    <row r="58" spans="3:19" x14ac:dyDescent="0.55000000000000004">
      <c r="C58" s="5"/>
      <c r="D58" s="6"/>
      <c r="E58" s="6"/>
      <c r="F58" s="6"/>
      <c r="G58" s="6"/>
      <c r="H58" s="6"/>
      <c r="I58" s="6"/>
      <c r="J58" s="6"/>
      <c r="K58" s="6"/>
      <c r="L58" s="6"/>
      <c r="M58" s="7"/>
      <c r="N58" s="7"/>
      <c r="O58" s="6"/>
      <c r="P58" s="6"/>
      <c r="Q58" s="6"/>
      <c r="R58" s="6"/>
      <c r="S58" s="6"/>
    </row>
    <row r="59" spans="3:19" x14ac:dyDescent="0.55000000000000004">
      <c r="C59" s="5"/>
      <c r="D59" s="6"/>
      <c r="E59" s="6"/>
      <c r="F59" s="6"/>
      <c r="G59" s="6"/>
      <c r="H59" s="6"/>
      <c r="I59" s="6"/>
      <c r="J59" s="6"/>
      <c r="K59" s="6"/>
      <c r="L59" s="6"/>
      <c r="M59" s="8"/>
      <c r="N59" s="7"/>
      <c r="O59" s="6"/>
      <c r="P59" s="6"/>
      <c r="Q59" s="6"/>
      <c r="R59" s="6"/>
      <c r="S59" s="6"/>
    </row>
    <row r="60" spans="3:19" x14ac:dyDescent="0.55000000000000004">
      <c r="C60" s="5"/>
      <c r="D60" s="6"/>
      <c r="E60" s="6"/>
      <c r="F60" s="6"/>
      <c r="G60" s="6"/>
      <c r="H60" s="6"/>
      <c r="I60" s="6"/>
      <c r="J60" s="6"/>
      <c r="K60" s="6"/>
      <c r="L60" s="6"/>
      <c r="M60" s="8"/>
      <c r="N60" s="7"/>
      <c r="O60" s="6"/>
      <c r="P60" s="6"/>
      <c r="Q60" s="6"/>
      <c r="R60" s="6"/>
      <c r="S60" s="6"/>
    </row>
    <row r="61" spans="3:19" x14ac:dyDescent="0.55000000000000004">
      <c r="C61" s="5"/>
      <c r="D61" s="6"/>
      <c r="E61" s="6"/>
      <c r="F61" s="6"/>
      <c r="G61" s="6"/>
      <c r="H61" s="6"/>
      <c r="I61" s="6"/>
      <c r="J61" s="6"/>
      <c r="K61" s="6"/>
      <c r="L61" s="7"/>
      <c r="M61" s="7"/>
      <c r="N61" s="7"/>
      <c r="O61" s="6"/>
      <c r="P61" s="6"/>
      <c r="Q61" s="6"/>
      <c r="R61" s="6"/>
      <c r="S61" s="6"/>
    </row>
    <row r="62" spans="3:19" x14ac:dyDescent="0.55000000000000004">
      <c r="C62" s="5"/>
      <c r="D62" s="6"/>
      <c r="E62" s="6"/>
      <c r="F62" s="6"/>
      <c r="G62" s="6"/>
      <c r="H62" s="6"/>
      <c r="I62" s="6"/>
      <c r="J62" s="6"/>
      <c r="K62" s="6"/>
      <c r="L62" s="6"/>
      <c r="M62" s="7"/>
      <c r="N62" s="7"/>
      <c r="O62" s="6"/>
      <c r="P62" s="6"/>
      <c r="Q62" s="6"/>
      <c r="R62" s="6"/>
      <c r="S62" s="6"/>
    </row>
    <row r="63" spans="3:19" x14ac:dyDescent="0.55000000000000004">
      <c r="C63" s="5"/>
      <c r="D63" s="6"/>
      <c r="E63" s="6"/>
      <c r="F63" s="6"/>
      <c r="G63" s="6"/>
      <c r="H63" s="6"/>
      <c r="I63" s="6"/>
      <c r="J63" s="6"/>
      <c r="K63" s="6"/>
      <c r="L63" s="6"/>
      <c r="M63" s="9"/>
      <c r="N63" s="9"/>
      <c r="O63" s="6"/>
      <c r="P63" s="6"/>
      <c r="Q63" s="6"/>
      <c r="R63" s="6"/>
      <c r="S63" s="6"/>
    </row>
    <row r="64" spans="3:19" x14ac:dyDescent="0.55000000000000004">
      <c r="C64" s="5"/>
      <c r="D64" s="6"/>
      <c r="E64" s="6"/>
      <c r="F64" s="6"/>
      <c r="G64" s="6"/>
      <c r="H64" s="6"/>
      <c r="I64" s="6"/>
      <c r="J64" s="6"/>
      <c r="K64" s="6"/>
      <c r="L64" s="6"/>
      <c r="M64" s="9"/>
      <c r="N64" s="9"/>
      <c r="O64" s="6"/>
      <c r="P64" s="6"/>
      <c r="Q64" s="6"/>
      <c r="R64" s="6"/>
      <c r="S64" s="6"/>
    </row>
    <row r="65" spans="3:19" x14ac:dyDescent="0.55000000000000004">
      <c r="C65" s="5"/>
      <c r="D65" s="6"/>
      <c r="E65" s="6"/>
      <c r="F65" s="6"/>
      <c r="G65" s="6"/>
      <c r="H65" s="6"/>
      <c r="I65" s="6"/>
      <c r="J65" s="6"/>
      <c r="K65" s="6"/>
      <c r="L65" s="6"/>
      <c r="M65" s="9"/>
      <c r="N65" s="9"/>
      <c r="O65" s="6"/>
      <c r="P65" s="6"/>
      <c r="Q65" s="6"/>
      <c r="R65" s="6"/>
      <c r="S65" s="6"/>
    </row>
    <row r="66" spans="3:19" x14ac:dyDescent="0.55000000000000004">
      <c r="C66" s="5"/>
      <c r="D66" s="6"/>
      <c r="E66" s="6"/>
      <c r="F66" s="6"/>
      <c r="G66" s="6"/>
      <c r="H66" s="6"/>
      <c r="I66" s="6"/>
      <c r="J66" s="6"/>
      <c r="K66" s="6"/>
      <c r="L66" s="6"/>
      <c r="M66" s="9"/>
      <c r="N66" s="9"/>
      <c r="O66" s="6"/>
      <c r="P66" s="6"/>
      <c r="Q66" s="6"/>
      <c r="R66" s="6"/>
      <c r="S66" s="6"/>
    </row>
    <row r="67" spans="3:19" x14ac:dyDescent="0.55000000000000004">
      <c r="C67" s="5"/>
      <c r="D67" s="6"/>
      <c r="E67" s="6"/>
      <c r="F67" s="6"/>
      <c r="G67" s="6"/>
      <c r="H67" s="6"/>
      <c r="I67" s="6"/>
      <c r="J67" s="6"/>
      <c r="K67" s="6"/>
      <c r="L67" s="6"/>
      <c r="M67" s="6"/>
      <c r="N67" s="7"/>
      <c r="O67" s="6"/>
      <c r="P67" s="6"/>
      <c r="Q67" s="6"/>
      <c r="R67" s="6"/>
      <c r="S67" s="6"/>
    </row>
    <row r="68" spans="3:19" x14ac:dyDescent="0.55000000000000004">
      <c r="C68" s="5"/>
      <c r="D68" s="6"/>
      <c r="E68" s="6"/>
      <c r="F68" s="6"/>
      <c r="G68" s="6"/>
      <c r="H68" s="6"/>
      <c r="I68" s="6"/>
      <c r="J68" s="6"/>
      <c r="K68" s="6"/>
      <c r="L68" s="6"/>
      <c r="M68" s="7"/>
      <c r="N68" s="6"/>
      <c r="O68" s="6"/>
      <c r="P68" s="6"/>
      <c r="Q68" s="6"/>
      <c r="R68" s="6"/>
      <c r="S68" s="6"/>
    </row>
    <row r="69" spans="3:19" x14ac:dyDescent="0.55000000000000004">
      <c r="C69" s="5"/>
      <c r="D69" s="6"/>
      <c r="E69" s="6"/>
      <c r="F69" s="6"/>
      <c r="G69" s="6"/>
      <c r="H69" s="6"/>
      <c r="I69" s="6"/>
      <c r="J69" s="6"/>
      <c r="K69" s="6"/>
      <c r="L69" s="6"/>
      <c r="M69" s="7"/>
      <c r="N69" s="7"/>
      <c r="O69" s="6"/>
      <c r="P69" s="6"/>
      <c r="Q69" s="6"/>
      <c r="R69" s="6"/>
      <c r="S69" s="6"/>
    </row>
    <row r="70" spans="3:19" x14ac:dyDescent="0.55000000000000004">
      <c r="C70" s="5"/>
      <c r="D70" s="6"/>
      <c r="E70" s="6"/>
      <c r="F70" s="6"/>
      <c r="G70" s="6"/>
      <c r="H70" s="6"/>
      <c r="I70" s="6"/>
      <c r="J70" s="6"/>
      <c r="K70" s="6"/>
      <c r="L70" s="6"/>
      <c r="M70" s="7"/>
      <c r="N70" s="6"/>
      <c r="O70" s="6"/>
      <c r="P70" s="6"/>
      <c r="Q70" s="6"/>
      <c r="R70" s="6"/>
      <c r="S70" s="6"/>
    </row>
    <row r="71" spans="3:19" x14ac:dyDescent="0.55000000000000004"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7"/>
      <c r="O71" s="6"/>
      <c r="P71" s="6"/>
      <c r="Q71" s="6"/>
      <c r="R71" s="6"/>
      <c r="S71" s="6"/>
    </row>
    <row r="72" spans="3:19" ht="89" x14ac:dyDescent="0.55000000000000004">
      <c r="C72" s="5"/>
      <c r="D72" s="6"/>
      <c r="E72" s="6"/>
      <c r="F72" s="6"/>
      <c r="G72" s="6"/>
      <c r="H72" s="6"/>
      <c r="I72" s="6"/>
      <c r="J72" s="6"/>
      <c r="K72" s="6"/>
      <c r="L72" s="6"/>
      <c r="M72" s="8"/>
      <c r="N72" s="7"/>
      <c r="O72" s="7" t="s">
        <v>61</v>
      </c>
      <c r="P72" s="6"/>
      <c r="Q72" s="6"/>
      <c r="R72" s="6"/>
      <c r="S72" s="6"/>
    </row>
    <row r="73" spans="3:19" x14ac:dyDescent="0.55000000000000004">
      <c r="C73" s="5"/>
      <c r="D73" s="6"/>
      <c r="E73" s="6"/>
      <c r="F73" s="6"/>
      <c r="G73" s="6"/>
      <c r="H73" s="6"/>
      <c r="I73" s="6"/>
      <c r="J73" s="6"/>
      <c r="K73" s="6"/>
      <c r="L73" s="6"/>
      <c r="M73" s="7"/>
      <c r="N73" s="7"/>
      <c r="O73" s="6"/>
      <c r="P73" s="6"/>
      <c r="Q73" s="6"/>
      <c r="R73" s="6"/>
      <c r="S73" s="6"/>
    </row>
    <row r="74" spans="3:19" x14ac:dyDescent="0.55000000000000004">
      <c r="C74" s="5"/>
      <c r="D74" s="6"/>
      <c r="E74" s="6"/>
      <c r="F74" s="6"/>
      <c r="G74" s="6"/>
      <c r="H74" s="6"/>
      <c r="I74" s="6"/>
      <c r="J74" s="6"/>
      <c r="K74" s="6"/>
      <c r="L74" s="6"/>
      <c r="M74" s="7"/>
      <c r="N74" s="7"/>
      <c r="O74" s="6"/>
      <c r="P74" s="6"/>
      <c r="Q74" s="6"/>
      <c r="R74" s="6"/>
      <c r="S74" s="6"/>
    </row>
    <row r="75" spans="3:19" x14ac:dyDescent="0.55000000000000004">
      <c r="C75" s="5"/>
      <c r="D75" s="6"/>
      <c r="E75" s="6"/>
      <c r="F75" s="6"/>
      <c r="G75" s="6"/>
      <c r="H75" s="6"/>
      <c r="I75" s="6"/>
      <c r="J75" s="6"/>
      <c r="K75" s="6"/>
      <c r="L75" s="6"/>
      <c r="M75" s="7"/>
      <c r="N75" s="7"/>
      <c r="O75" s="6"/>
      <c r="P75" s="6"/>
      <c r="Q75" s="6"/>
      <c r="R75" s="6"/>
      <c r="S75" s="6"/>
    </row>
    <row r="76" spans="3:19" x14ac:dyDescent="0.55000000000000004">
      <c r="C76" s="5"/>
      <c r="D76" s="6"/>
      <c r="E76" s="6"/>
      <c r="F76" s="6"/>
      <c r="G76" s="6"/>
      <c r="H76" s="6"/>
      <c r="I76" s="6"/>
      <c r="J76" s="6"/>
      <c r="K76" s="6"/>
      <c r="L76" s="6"/>
      <c r="M76" s="7"/>
      <c r="N76" s="7"/>
      <c r="O76" s="6"/>
      <c r="P76" s="6"/>
      <c r="Q76" s="6"/>
      <c r="R76" s="6"/>
      <c r="S76" s="6"/>
    </row>
    <row r="77" spans="3:19" x14ac:dyDescent="0.55000000000000004">
      <c r="C77" s="5"/>
      <c r="D77" s="6"/>
      <c r="E77" s="6"/>
      <c r="F77" s="6"/>
      <c r="G77" s="6"/>
      <c r="H77" s="6"/>
      <c r="I77" s="6"/>
      <c r="J77" s="6"/>
      <c r="K77" s="6"/>
      <c r="L77" s="6"/>
      <c r="M77" s="7"/>
      <c r="N77" s="7"/>
      <c r="O77" s="6"/>
      <c r="P77" s="6"/>
      <c r="Q77" s="6"/>
      <c r="R77" s="6"/>
      <c r="S77" s="6"/>
    </row>
    <row r="78" spans="3:19" x14ac:dyDescent="0.55000000000000004">
      <c r="C78" s="5"/>
      <c r="D78" s="6"/>
      <c r="E78" s="6"/>
      <c r="F78" s="6"/>
      <c r="G78" s="6"/>
      <c r="H78" s="6"/>
      <c r="I78" s="6"/>
      <c r="J78" s="6"/>
      <c r="K78" s="6"/>
      <c r="L78" s="6"/>
      <c r="M78" s="7"/>
      <c r="N78" s="7"/>
      <c r="O78" s="6"/>
      <c r="P78" s="6"/>
      <c r="Q78" s="6"/>
      <c r="R78" s="6"/>
      <c r="S78" s="6"/>
    </row>
    <row r="79" spans="3:19" x14ac:dyDescent="0.55000000000000004">
      <c r="C79" s="5"/>
      <c r="D79" s="6"/>
      <c r="E79" s="6"/>
      <c r="F79" s="6"/>
      <c r="G79" s="6"/>
      <c r="H79" s="6"/>
      <c r="I79" s="6"/>
      <c r="J79" s="6"/>
      <c r="K79" s="6"/>
      <c r="L79" s="6"/>
      <c r="M79" s="7"/>
      <c r="N79" s="7"/>
      <c r="O79" s="6"/>
      <c r="P79" s="6"/>
      <c r="Q79" s="6"/>
      <c r="R79" s="6"/>
      <c r="S79" s="6"/>
    </row>
    <row r="80" spans="3:19" x14ac:dyDescent="0.55000000000000004">
      <c r="C80" s="5"/>
      <c r="D80" s="6"/>
      <c r="E80" s="6"/>
      <c r="F80" s="6"/>
      <c r="G80" s="6"/>
      <c r="H80" s="6"/>
      <c r="I80" s="6"/>
      <c r="J80" s="6"/>
      <c r="K80" s="6"/>
      <c r="L80" s="6"/>
      <c r="M80" s="7"/>
      <c r="N80" s="7"/>
      <c r="O80" s="6"/>
      <c r="P80" s="6"/>
      <c r="Q80" s="6"/>
      <c r="R80" s="6"/>
      <c r="S80" s="6"/>
    </row>
    <row r="81" spans="3:19" x14ac:dyDescent="0.55000000000000004">
      <c r="C81" s="5"/>
      <c r="D81" s="6"/>
      <c r="E81" s="6"/>
      <c r="F81" s="6"/>
      <c r="G81" s="6"/>
      <c r="H81" s="6"/>
      <c r="I81" s="6"/>
      <c r="J81" s="6"/>
      <c r="K81" s="6"/>
      <c r="L81" s="6"/>
      <c r="M81" s="7"/>
      <c r="N81" s="6"/>
      <c r="O81" s="6"/>
      <c r="P81" s="6"/>
      <c r="Q81" s="6"/>
      <c r="R81" s="6"/>
      <c r="S81" s="6"/>
    </row>
    <row r="82" spans="3:19" x14ac:dyDescent="0.55000000000000004">
      <c r="C82" s="5"/>
      <c r="D82" s="6"/>
      <c r="E82" s="6"/>
      <c r="F82" s="6"/>
      <c r="G82" s="6"/>
      <c r="H82" s="6"/>
      <c r="I82" s="6"/>
      <c r="J82" s="6"/>
      <c r="K82" s="6"/>
      <c r="L82" s="6"/>
      <c r="M82" s="8"/>
      <c r="N82" s="7"/>
      <c r="O82" s="6"/>
      <c r="P82" s="6"/>
      <c r="Q82" s="6"/>
      <c r="R82" s="6"/>
      <c r="S82" s="6"/>
    </row>
    <row r="83" spans="3:19" x14ac:dyDescent="0.55000000000000004">
      <c r="C83" s="5"/>
      <c r="D83" s="6"/>
      <c r="E83" s="6"/>
      <c r="F83" s="6"/>
      <c r="G83" s="6"/>
      <c r="H83" s="6"/>
      <c r="I83" s="6"/>
      <c r="J83" s="6"/>
      <c r="K83" s="6"/>
      <c r="L83" s="6"/>
      <c r="M83" s="7"/>
      <c r="N83" s="6"/>
      <c r="O83" s="6"/>
      <c r="P83" s="6"/>
      <c r="Q83" s="6"/>
      <c r="R83" s="6"/>
      <c r="S83" s="6"/>
    </row>
    <row r="84" spans="3:19" x14ac:dyDescent="0.55000000000000004">
      <c r="C84" s="5"/>
      <c r="D84" s="6"/>
      <c r="E84" s="6"/>
      <c r="F84" s="6"/>
      <c r="G84" s="6"/>
      <c r="H84" s="6"/>
      <c r="I84" s="6"/>
      <c r="J84" s="6"/>
      <c r="K84" s="6"/>
      <c r="L84" s="6"/>
      <c r="M84" s="7"/>
      <c r="N84" s="8"/>
      <c r="O84" s="6"/>
      <c r="P84" s="6"/>
      <c r="Q84" s="6"/>
      <c r="R84" s="6"/>
      <c r="S84" s="6"/>
    </row>
    <row r="85" spans="3:19" x14ac:dyDescent="0.55000000000000004">
      <c r="C85" s="5"/>
      <c r="D85" s="6"/>
      <c r="E85" s="6"/>
      <c r="F85" s="6"/>
      <c r="G85" s="6"/>
      <c r="H85" s="6"/>
      <c r="I85" s="6"/>
      <c r="J85" s="6"/>
      <c r="K85" s="6"/>
      <c r="L85" s="6"/>
      <c r="M85" s="7"/>
      <c r="N85" s="6"/>
      <c r="O85" s="6"/>
      <c r="P85" s="6"/>
      <c r="Q85" s="6"/>
      <c r="R85" s="6"/>
      <c r="S85" s="6"/>
    </row>
    <row r="86" spans="3:19" x14ac:dyDescent="0.55000000000000004">
      <c r="C86" s="5"/>
      <c r="D86" s="6"/>
      <c r="E86" s="6"/>
      <c r="F86" s="6"/>
      <c r="G86" s="6"/>
      <c r="H86" s="6"/>
      <c r="I86" s="6"/>
      <c r="J86" s="6"/>
      <c r="K86" s="6"/>
      <c r="L86" s="6"/>
      <c r="M86" s="7"/>
      <c r="N86" s="8"/>
      <c r="O86" s="6"/>
      <c r="P86" s="6"/>
      <c r="Q86" s="6"/>
      <c r="R86" s="6"/>
      <c r="S86" s="6"/>
    </row>
    <row r="87" spans="3:19" x14ac:dyDescent="0.55000000000000004">
      <c r="C87" s="5"/>
      <c r="D87" s="6"/>
      <c r="E87" s="6"/>
      <c r="F87" s="6"/>
      <c r="G87" s="6"/>
      <c r="H87" s="6"/>
      <c r="I87" s="6"/>
      <c r="J87" s="6"/>
      <c r="K87" s="6"/>
      <c r="L87" s="6"/>
      <c r="M87" s="7"/>
      <c r="N87" s="7"/>
      <c r="O87" s="6"/>
      <c r="P87" s="6"/>
      <c r="Q87" s="6"/>
      <c r="R87" s="6"/>
      <c r="S87" s="6"/>
    </row>
    <row r="88" spans="3:19" x14ac:dyDescent="0.55000000000000004">
      <c r="C88" s="5"/>
      <c r="D88" s="6"/>
      <c r="E88" s="6"/>
      <c r="F88" s="6"/>
      <c r="G88" s="6"/>
      <c r="H88" s="6"/>
      <c r="I88" s="6"/>
      <c r="J88" s="6"/>
      <c r="K88" s="6"/>
      <c r="L88" s="6"/>
      <c r="M88" s="7"/>
      <c r="N88" s="7"/>
      <c r="O88" s="6"/>
      <c r="P88" s="6"/>
      <c r="Q88" s="6"/>
      <c r="R88" s="6"/>
      <c r="S88" s="6"/>
    </row>
    <row r="89" spans="3:19" x14ac:dyDescent="0.55000000000000004">
      <c r="C89" s="5"/>
      <c r="D89" s="6"/>
      <c r="E89" s="6"/>
      <c r="F89" s="6"/>
      <c r="G89" s="6"/>
      <c r="H89" s="6"/>
      <c r="I89" s="6"/>
      <c r="J89" s="6"/>
      <c r="K89" s="6"/>
      <c r="L89" s="6"/>
      <c r="M89" s="6"/>
      <c r="N89" s="7"/>
      <c r="O89" s="6"/>
      <c r="P89" s="6"/>
      <c r="Q89" s="6"/>
      <c r="R89" s="6"/>
      <c r="S89" s="6"/>
    </row>
    <row r="90" spans="3:19" x14ac:dyDescent="0.55000000000000004">
      <c r="C90" s="5"/>
      <c r="D90" s="6"/>
      <c r="E90" s="6"/>
      <c r="F90" s="6"/>
      <c r="G90" s="6"/>
      <c r="H90" s="6"/>
      <c r="I90" s="6"/>
      <c r="J90" s="6"/>
      <c r="K90" s="6"/>
      <c r="L90" s="6"/>
      <c r="M90" s="7"/>
      <c r="N90" s="7"/>
      <c r="O90" s="6"/>
      <c r="P90" s="6"/>
      <c r="Q90" s="6"/>
      <c r="R90" s="6"/>
      <c r="S90" s="6"/>
    </row>
    <row r="91" spans="3:19" x14ac:dyDescent="0.55000000000000004">
      <c r="C91" s="5"/>
      <c r="D91" s="6"/>
      <c r="E91" s="6"/>
      <c r="F91" s="6"/>
      <c r="G91" s="6"/>
      <c r="H91" s="6"/>
      <c r="I91" s="6"/>
      <c r="J91" s="6"/>
      <c r="K91" s="6"/>
      <c r="L91" s="6"/>
      <c r="M91" s="7"/>
      <c r="N91" s="7"/>
      <c r="O91" s="6"/>
      <c r="P91" s="6"/>
      <c r="Q91" s="6"/>
      <c r="R91" s="6"/>
      <c r="S91" s="6"/>
    </row>
    <row r="92" spans="3:19" ht="89" x14ac:dyDescent="0.55000000000000004">
      <c r="C92" s="5"/>
      <c r="D92" s="6"/>
      <c r="E92" s="6"/>
      <c r="F92" s="6"/>
      <c r="G92" s="6"/>
      <c r="H92" s="6"/>
      <c r="I92" s="6"/>
      <c r="J92" s="6"/>
      <c r="K92" s="6"/>
      <c r="L92" s="6"/>
      <c r="M92" s="7"/>
      <c r="N92" s="7"/>
      <c r="O92" s="7" t="s">
        <v>62</v>
      </c>
      <c r="P92" s="6"/>
      <c r="Q92" s="6"/>
      <c r="R92" s="6"/>
      <c r="S92" s="6"/>
    </row>
    <row r="93" spans="3:19" x14ac:dyDescent="0.55000000000000004">
      <c r="C93" s="5"/>
      <c r="D93" s="6"/>
      <c r="E93" s="6"/>
      <c r="F93" s="6"/>
      <c r="G93" s="6"/>
      <c r="H93" s="6"/>
      <c r="I93" s="6"/>
      <c r="J93" s="6"/>
      <c r="K93" s="6"/>
      <c r="L93" s="6"/>
      <c r="M93" s="7"/>
      <c r="N93" s="7"/>
      <c r="O93" s="6"/>
      <c r="P93" s="6"/>
      <c r="Q93" s="6"/>
      <c r="R93" s="6"/>
      <c r="S93" s="6"/>
    </row>
    <row r="94" spans="3:19" ht="74.5" x14ac:dyDescent="0.55000000000000004">
      <c r="C94" s="5"/>
      <c r="D94" s="6"/>
      <c r="E94" s="6"/>
      <c r="F94" s="6"/>
      <c r="G94" s="6"/>
      <c r="H94" s="6"/>
      <c r="I94" s="6"/>
      <c r="J94" s="6"/>
      <c r="K94" s="6"/>
      <c r="L94" s="6"/>
      <c r="M94" s="7"/>
      <c r="N94" s="6"/>
      <c r="O94" s="7" t="s">
        <v>63</v>
      </c>
      <c r="P94" s="6"/>
      <c r="Q94" s="6"/>
      <c r="R94" s="6"/>
      <c r="S94" s="6"/>
    </row>
    <row r="95" spans="3:19" x14ac:dyDescent="0.55000000000000004">
      <c r="C95" s="5"/>
      <c r="D95" s="6"/>
      <c r="E95" s="6"/>
      <c r="F95" s="6"/>
      <c r="G95" s="6"/>
      <c r="H95" s="6"/>
      <c r="I95" s="6"/>
      <c r="J95" s="6"/>
      <c r="K95" s="6"/>
      <c r="L95" s="6"/>
      <c r="M95" s="7"/>
      <c r="N95" s="7"/>
      <c r="O95" s="6"/>
      <c r="P95" s="6"/>
      <c r="Q95" s="6"/>
      <c r="R95" s="6"/>
      <c r="S95" s="6"/>
    </row>
    <row r="96" spans="3:19" ht="60" x14ac:dyDescent="0.55000000000000004">
      <c r="C96" s="5"/>
      <c r="D96" s="6"/>
      <c r="E96" s="6"/>
      <c r="F96" s="6"/>
      <c r="G96" s="6"/>
      <c r="H96" s="6"/>
      <c r="I96" s="6"/>
      <c r="J96" s="6"/>
      <c r="K96" s="6"/>
      <c r="L96" s="6"/>
      <c r="M96" s="7"/>
      <c r="N96" s="7"/>
      <c r="O96" s="7" t="s">
        <v>64</v>
      </c>
      <c r="P96" s="6"/>
      <c r="Q96" s="6"/>
      <c r="R96" s="6"/>
      <c r="S96" s="6"/>
    </row>
    <row r="97" spans="3:19" x14ac:dyDescent="0.55000000000000004">
      <c r="C97" s="5"/>
      <c r="D97" s="6"/>
      <c r="E97" s="6"/>
      <c r="F97" s="6"/>
      <c r="G97" s="6"/>
      <c r="H97" s="6"/>
      <c r="I97" s="6"/>
      <c r="J97" s="6"/>
      <c r="K97" s="6"/>
      <c r="L97" s="6"/>
      <c r="M97" s="6"/>
      <c r="N97" s="7"/>
      <c r="O97" s="6"/>
      <c r="P97" s="6"/>
      <c r="Q97" s="6"/>
      <c r="R97" s="6"/>
      <c r="S97" s="6"/>
    </row>
    <row r="98" spans="3:19" x14ac:dyDescent="0.55000000000000004">
      <c r="C98" s="5"/>
      <c r="D98" s="6"/>
      <c r="E98" s="6"/>
      <c r="F98" s="6"/>
      <c r="G98" s="6"/>
      <c r="H98" s="6"/>
      <c r="I98" s="6"/>
      <c r="J98" s="6"/>
      <c r="K98" s="6"/>
      <c r="L98" s="6"/>
      <c r="M98" s="7"/>
      <c r="N98" s="7"/>
      <c r="O98" s="6"/>
      <c r="P98" s="6"/>
      <c r="Q98" s="6"/>
      <c r="R98" s="6"/>
      <c r="S98" s="6"/>
    </row>
    <row r="99" spans="3:19" x14ac:dyDescent="0.55000000000000004">
      <c r="C99" s="5"/>
      <c r="D99" s="6"/>
      <c r="E99" s="6"/>
      <c r="F99" s="6"/>
      <c r="G99" s="6"/>
      <c r="H99" s="6"/>
      <c r="I99" s="6"/>
      <c r="J99" s="6"/>
      <c r="K99" s="6"/>
      <c r="L99" s="6"/>
      <c r="M99" s="6"/>
      <c r="N99" s="7"/>
      <c r="O99" s="6"/>
      <c r="P99" s="6"/>
      <c r="Q99" s="6"/>
      <c r="R99" s="6"/>
      <c r="S99" s="6"/>
    </row>
    <row r="100" spans="3:19" x14ac:dyDescent="0.55000000000000004">
      <c r="C100" s="5"/>
      <c r="D100" s="6"/>
      <c r="E100" s="6"/>
      <c r="F100" s="6"/>
      <c r="G100" s="6"/>
      <c r="H100" s="6"/>
      <c r="I100" s="6"/>
      <c r="J100" s="6"/>
      <c r="K100" s="6"/>
      <c r="L100" s="6"/>
      <c r="M100" s="7"/>
      <c r="N100" s="7"/>
      <c r="O100" s="6"/>
      <c r="P100" s="6"/>
      <c r="Q100" s="6"/>
      <c r="R100" s="6"/>
      <c r="S100" s="6"/>
    </row>
    <row r="101" spans="3:19" x14ac:dyDescent="0.55000000000000004">
      <c r="C101" s="5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7"/>
      <c r="O101" s="6"/>
      <c r="P101" s="6"/>
      <c r="Q101" s="6"/>
      <c r="R101" s="6"/>
      <c r="S101" s="6"/>
    </row>
    <row r="102" spans="3:19" x14ac:dyDescent="0.55000000000000004">
      <c r="C102" s="5"/>
      <c r="D102" s="6"/>
      <c r="E102" s="6"/>
      <c r="F102" s="6"/>
      <c r="G102" s="6"/>
      <c r="H102" s="6"/>
      <c r="I102" s="6"/>
      <c r="J102" s="6"/>
      <c r="K102" s="6"/>
      <c r="L102" s="6"/>
      <c r="M102" s="7"/>
      <c r="N102" s="7"/>
      <c r="O102" s="6"/>
      <c r="P102" s="6"/>
      <c r="Q102" s="6"/>
      <c r="R102" s="6"/>
      <c r="S102" s="6"/>
    </row>
    <row r="103" spans="3:19" x14ac:dyDescent="0.55000000000000004">
      <c r="C103" s="5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7"/>
      <c r="O103" s="6"/>
      <c r="P103" s="6"/>
      <c r="Q103" s="6"/>
      <c r="R103" s="6"/>
      <c r="S103" s="6"/>
    </row>
    <row r="104" spans="3:19" x14ac:dyDescent="0.55000000000000004">
      <c r="C104" s="5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9"/>
      <c r="O104" s="6"/>
      <c r="P104" s="6"/>
      <c r="Q104" s="6"/>
      <c r="R104" s="6"/>
      <c r="S104" s="6"/>
    </row>
    <row r="105" spans="3:19" x14ac:dyDescent="0.55000000000000004">
      <c r="C105" s="5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9"/>
      <c r="O105" s="6"/>
      <c r="P105" s="6"/>
      <c r="Q105" s="6"/>
      <c r="R105" s="6"/>
      <c r="S105" s="6"/>
    </row>
    <row r="106" spans="3:19" x14ac:dyDescent="0.55000000000000004">
      <c r="C106" s="5"/>
      <c r="D106" s="6"/>
      <c r="E106" s="6"/>
      <c r="F106" s="6"/>
      <c r="G106" s="6"/>
      <c r="H106" s="6"/>
      <c r="I106" s="6"/>
      <c r="J106" s="6"/>
      <c r="K106" s="6"/>
      <c r="L106" s="6"/>
      <c r="M106" s="7"/>
      <c r="N106" s="7"/>
      <c r="O106" s="6"/>
      <c r="P106" s="6"/>
      <c r="Q106" s="6"/>
      <c r="R106" s="6"/>
      <c r="S106" s="6"/>
    </row>
    <row r="107" spans="3:19" x14ac:dyDescent="0.55000000000000004">
      <c r="C107" s="5"/>
      <c r="D107" s="6"/>
      <c r="E107" s="6"/>
      <c r="F107" s="6"/>
      <c r="G107" s="6"/>
      <c r="H107" s="6"/>
      <c r="I107" s="6"/>
      <c r="J107" s="6"/>
      <c r="K107" s="6"/>
      <c r="L107" s="6"/>
      <c r="M107" s="7"/>
      <c r="N107" s="6"/>
      <c r="O107" s="6"/>
      <c r="P107" s="6"/>
      <c r="Q107" s="6"/>
      <c r="R107" s="6"/>
      <c r="S107" s="6"/>
    </row>
    <row r="108" spans="3:19" x14ac:dyDescent="0.55000000000000004">
      <c r="C108" s="5"/>
      <c r="D108" s="6"/>
      <c r="E108" s="6"/>
      <c r="F108" s="6"/>
      <c r="G108" s="6"/>
      <c r="H108" s="6"/>
      <c r="I108" s="6"/>
      <c r="J108" s="6"/>
      <c r="K108" s="6"/>
      <c r="L108" s="6"/>
      <c r="M108" s="7"/>
      <c r="N108" s="7"/>
      <c r="O108" s="6"/>
      <c r="P108" s="6"/>
      <c r="Q108" s="6"/>
      <c r="R108" s="6"/>
      <c r="S108" s="6"/>
    </row>
    <row r="109" spans="3:19" x14ac:dyDescent="0.55000000000000004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3:19" x14ac:dyDescent="0.55000000000000004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3:19" x14ac:dyDescent="0.55000000000000004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3:19" x14ac:dyDescent="0.55000000000000004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3:19" x14ac:dyDescent="0.55000000000000004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3:19" x14ac:dyDescent="0.55000000000000004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3:19" x14ac:dyDescent="0.55000000000000004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3:19" x14ac:dyDescent="0.55000000000000004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3:19" x14ac:dyDescent="0.55000000000000004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3:19" x14ac:dyDescent="0.55000000000000004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3:19" x14ac:dyDescent="0.55000000000000004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3:19" x14ac:dyDescent="0.55000000000000004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3:19" x14ac:dyDescent="0.55000000000000004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3:19" x14ac:dyDescent="0.55000000000000004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3:19" x14ac:dyDescent="0.55000000000000004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3:19" x14ac:dyDescent="0.55000000000000004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3:19" x14ac:dyDescent="0.55000000000000004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3:19" x14ac:dyDescent="0.55000000000000004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3:19" x14ac:dyDescent="0.55000000000000004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3:19" x14ac:dyDescent="0.55000000000000004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3:19" x14ac:dyDescent="0.55000000000000004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3:19" x14ac:dyDescent="0.55000000000000004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3:19" x14ac:dyDescent="0.55000000000000004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3:19" x14ac:dyDescent="0.55000000000000004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3:19" x14ac:dyDescent="0.55000000000000004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3:19" x14ac:dyDescent="0.55000000000000004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3:19" x14ac:dyDescent="0.55000000000000004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3:19" x14ac:dyDescent="0.55000000000000004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3:19" x14ac:dyDescent="0.55000000000000004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3:19" x14ac:dyDescent="0.55000000000000004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3:19" x14ac:dyDescent="0.55000000000000004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3:19" x14ac:dyDescent="0.55000000000000004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3:19" x14ac:dyDescent="0.55000000000000004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3:19" x14ac:dyDescent="0.55000000000000004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3:19" x14ac:dyDescent="0.55000000000000004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3:19" x14ac:dyDescent="0.55000000000000004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3:14" x14ac:dyDescent="0.55000000000000004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3:14" x14ac:dyDescent="0.55000000000000004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3:14" x14ac:dyDescent="0.55000000000000004"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3:14" x14ac:dyDescent="0.55000000000000004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3:14" x14ac:dyDescent="0.55000000000000004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3:14" x14ac:dyDescent="0.55000000000000004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3:14" x14ac:dyDescent="0.55000000000000004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3:14" x14ac:dyDescent="0.55000000000000004"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3:14" x14ac:dyDescent="0.55000000000000004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3:14" x14ac:dyDescent="0.55000000000000004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3:14" x14ac:dyDescent="0.55000000000000004"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3:14" x14ac:dyDescent="0.55000000000000004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3:14" x14ac:dyDescent="0.55000000000000004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3:14" x14ac:dyDescent="0.55000000000000004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3:14" x14ac:dyDescent="0.55000000000000004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3:14" x14ac:dyDescent="0.55000000000000004"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3:14" x14ac:dyDescent="0.55000000000000004"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3:14" x14ac:dyDescent="0.55000000000000004"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3:14" x14ac:dyDescent="0.55000000000000004"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3:14" x14ac:dyDescent="0.55000000000000004"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3:14" x14ac:dyDescent="0.55000000000000004"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3:14" x14ac:dyDescent="0.55000000000000004"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3:14" x14ac:dyDescent="0.55000000000000004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3:14" x14ac:dyDescent="0.55000000000000004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</sheetData>
  <phoneticPr fontId="3" type="noConversion"/>
  <hyperlinks>
    <hyperlink ref="O96" r:id="rId1" xr:uid="{AAB0F00D-7D8C-422E-A474-DEB219FAD643}"/>
    <hyperlink ref="O94" r:id="rId2" xr:uid="{1188B990-5594-4A70-BCBC-257409A4156A}"/>
    <hyperlink ref="O92" r:id="rId3" xr:uid="{97BFC816-7023-4A5F-BD6A-03ADFD3672D4}"/>
    <hyperlink ref="O72" r:id="rId4" xr:uid="{F2F570F6-8F77-4E6A-B664-F976662435FB}"/>
  </hyperlinks>
  <pageMargins left="0.7" right="0.7" top="0.75" bottom="0.75" header="0.3" footer="0.3"/>
  <pageSetup paperSize="9" orientation="portrait" r:id="rId5"/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6B4B828-F64F-4EE0-9105-63B9781E342D}">
          <x14:formula1>
            <xm:f>DataSource!$M$4:$M$5</xm:f>
          </x14:formula1>
          <xm:sqref>I7:I127</xm:sqref>
        </x14:dataValidation>
        <x14:dataValidation type="list" allowBlank="1" showInputMessage="1" showErrorMessage="1" xr:uid="{CEC1EC99-0A5C-4E0F-86D4-8EA600AB0A95}">
          <x14:formula1>
            <xm:f>DataSource!$I$4:$I$6</xm:f>
          </x14:formula1>
          <xm:sqref>F4:F109</xm:sqref>
        </x14:dataValidation>
        <x14:dataValidation type="list" allowBlank="1" showInputMessage="1" showErrorMessage="1" xr:uid="{1E5A7A2F-2BF0-4721-A5EC-96BFE9096FB4}">
          <x14:formula1>
            <xm:f>DataSource!$E$4:$E$7</xm:f>
          </x14:formula1>
          <xm:sqref>J7:J127</xm:sqref>
        </x14:dataValidation>
        <x14:dataValidation type="list" allowBlank="1" showInputMessage="1" showErrorMessage="1" xr:uid="{030112EC-072A-4200-9B50-761D1249BE12}">
          <x14:formula1>
            <xm:f>DataSource!$O$4:$O$23</xm:f>
          </x14:formula1>
          <xm:sqref>G1:G3 G7:G1048576</xm:sqref>
        </x14:dataValidation>
        <x14:dataValidation type="list" allowBlank="1" showInputMessage="1" showErrorMessage="1" xr:uid="{240F69BB-1BBA-4BA0-9376-E1F16B5988F3}">
          <x14:formula1>
            <xm:f>DataSource!$Q$4:$Q$23</xm:f>
          </x14:formula1>
          <xm:sqref>H1:H3 H7:H1048576</xm:sqref>
        </x14:dataValidation>
        <x14:dataValidation type="list" allowBlank="1" showInputMessage="1" showErrorMessage="1" xr:uid="{0A1344E5-DD55-4B71-9EA9-DB37D8AA5298}">
          <x14:formula1>
            <xm:f>DataSource!$G$4:$G$24</xm:f>
          </x14:formula1>
          <xm:sqref>E1:E1048576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4364-8040-4BA0-95B9-20D824A6BFB0}">
  <dimension ref="A3:B32"/>
  <sheetViews>
    <sheetView workbookViewId="0">
      <selection activeCell="D10" sqref="D10"/>
    </sheetView>
  </sheetViews>
  <sheetFormatPr defaultRowHeight="14.5" x14ac:dyDescent="0.35"/>
  <cols>
    <col min="1" max="1" width="31.08984375" bestFit="1" customWidth="1"/>
    <col min="2" max="2" width="14" bestFit="1" customWidth="1"/>
  </cols>
  <sheetData>
    <row r="3" spans="1:2" x14ac:dyDescent="0.35">
      <c r="A3" s="13" t="s">
        <v>77</v>
      </c>
      <c r="B3" t="s">
        <v>80</v>
      </c>
    </row>
    <row r="4" spans="1:2" x14ac:dyDescent="0.35">
      <c r="A4" s="14" t="s">
        <v>69</v>
      </c>
      <c r="B4">
        <v>176091</v>
      </c>
    </row>
    <row r="5" spans="1:2" x14ac:dyDescent="0.35">
      <c r="A5" s="15" t="s">
        <v>43</v>
      </c>
      <c r="B5">
        <v>176091</v>
      </c>
    </row>
    <row r="6" spans="1:2" x14ac:dyDescent="0.35">
      <c r="A6" s="14" t="s">
        <v>75</v>
      </c>
      <c r="B6">
        <v>260</v>
      </c>
    </row>
    <row r="7" spans="1:2" x14ac:dyDescent="0.35">
      <c r="A7" s="15" t="s">
        <v>44</v>
      </c>
      <c r="B7">
        <v>260</v>
      </c>
    </row>
    <row r="8" spans="1:2" x14ac:dyDescent="0.35">
      <c r="A8" s="14" t="s">
        <v>71</v>
      </c>
      <c r="B8">
        <v>8486</v>
      </c>
    </row>
    <row r="9" spans="1:2" x14ac:dyDescent="0.35">
      <c r="A9" s="15" t="s">
        <v>44</v>
      </c>
      <c r="B9">
        <v>8486</v>
      </c>
    </row>
    <row r="10" spans="1:2" x14ac:dyDescent="0.35">
      <c r="A10" s="14" t="s">
        <v>23</v>
      </c>
      <c r="B10">
        <v>29109</v>
      </c>
    </row>
    <row r="11" spans="1:2" x14ac:dyDescent="0.35">
      <c r="A11" s="15" t="s">
        <v>44</v>
      </c>
      <c r="B11">
        <v>29109</v>
      </c>
    </row>
    <row r="12" spans="1:2" x14ac:dyDescent="0.35">
      <c r="A12" s="14" t="s">
        <v>72</v>
      </c>
      <c r="B12">
        <v>1299</v>
      </c>
    </row>
    <row r="13" spans="1:2" x14ac:dyDescent="0.35">
      <c r="A13" s="15" t="s">
        <v>44</v>
      </c>
      <c r="B13">
        <v>1299</v>
      </c>
    </row>
    <row r="14" spans="1:2" x14ac:dyDescent="0.35">
      <c r="A14" s="14" t="s">
        <v>74</v>
      </c>
      <c r="B14">
        <v>4425</v>
      </c>
    </row>
    <row r="15" spans="1:2" x14ac:dyDescent="0.35">
      <c r="A15" s="15" t="s">
        <v>44</v>
      </c>
      <c r="B15">
        <v>4425</v>
      </c>
    </row>
    <row r="16" spans="1:2" x14ac:dyDescent="0.35">
      <c r="A16" s="14" t="s">
        <v>24</v>
      </c>
      <c r="B16">
        <v>3460</v>
      </c>
    </row>
    <row r="17" spans="1:2" x14ac:dyDescent="0.35">
      <c r="A17" s="15" t="s">
        <v>44</v>
      </c>
      <c r="B17">
        <v>3460</v>
      </c>
    </row>
    <row r="18" spans="1:2" x14ac:dyDescent="0.35">
      <c r="A18" s="14" t="s">
        <v>66</v>
      </c>
      <c r="B18">
        <v>3720</v>
      </c>
    </row>
    <row r="19" spans="1:2" x14ac:dyDescent="0.35">
      <c r="A19" s="15" t="s">
        <v>44</v>
      </c>
      <c r="B19">
        <v>3720</v>
      </c>
    </row>
    <row r="20" spans="1:2" x14ac:dyDescent="0.35">
      <c r="A20" s="14" t="s">
        <v>41</v>
      </c>
      <c r="B20">
        <v>1771</v>
      </c>
    </row>
    <row r="21" spans="1:2" x14ac:dyDescent="0.35">
      <c r="A21" s="15" t="s">
        <v>44</v>
      </c>
      <c r="B21">
        <v>1771</v>
      </c>
    </row>
    <row r="22" spans="1:2" x14ac:dyDescent="0.35">
      <c r="A22" s="14" t="s">
        <v>73</v>
      </c>
      <c r="B22">
        <v>130</v>
      </c>
    </row>
    <row r="23" spans="1:2" x14ac:dyDescent="0.35">
      <c r="A23" s="15" t="s">
        <v>44</v>
      </c>
      <c r="B23">
        <v>130</v>
      </c>
    </row>
    <row r="24" spans="1:2" x14ac:dyDescent="0.35">
      <c r="A24" s="14" t="s">
        <v>68</v>
      </c>
      <c r="B24">
        <v>855</v>
      </c>
    </row>
    <row r="25" spans="1:2" x14ac:dyDescent="0.35">
      <c r="A25" s="15" t="s">
        <v>44</v>
      </c>
      <c r="B25">
        <v>855</v>
      </c>
    </row>
    <row r="26" spans="1:2" x14ac:dyDescent="0.35">
      <c r="A26" s="14" t="s">
        <v>76</v>
      </c>
      <c r="B26">
        <v>4170</v>
      </c>
    </row>
    <row r="27" spans="1:2" x14ac:dyDescent="0.35">
      <c r="A27" s="15" t="s">
        <v>44</v>
      </c>
      <c r="B27">
        <v>4170</v>
      </c>
    </row>
    <row r="28" spans="1:2" x14ac:dyDescent="0.35">
      <c r="A28" s="14" t="s">
        <v>67</v>
      </c>
      <c r="B28">
        <v>71977</v>
      </c>
    </row>
    <row r="29" spans="1:2" x14ac:dyDescent="0.35">
      <c r="A29" s="15" t="s">
        <v>44</v>
      </c>
      <c r="B29">
        <v>71977</v>
      </c>
    </row>
    <row r="30" spans="1:2" x14ac:dyDescent="0.35">
      <c r="A30" s="14" t="s">
        <v>78</v>
      </c>
    </row>
    <row r="31" spans="1:2" x14ac:dyDescent="0.35">
      <c r="A31" s="15" t="s">
        <v>78</v>
      </c>
    </row>
    <row r="32" spans="1:2" x14ac:dyDescent="0.35">
      <c r="A32" s="14" t="s">
        <v>79</v>
      </c>
      <c r="B32">
        <v>305753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2B2A-F937-4E5C-B7E8-A030A854C2F0}">
  <dimension ref="E3:Q23"/>
  <sheetViews>
    <sheetView tabSelected="1" topLeftCell="E10" workbookViewId="0">
      <selection activeCell="N22" sqref="N22"/>
    </sheetView>
  </sheetViews>
  <sheetFormatPr defaultRowHeight="14.5" x14ac:dyDescent="0.35"/>
  <cols>
    <col min="5" max="5" width="18.26953125" customWidth="1"/>
    <col min="7" max="7" width="20.54296875" bestFit="1" customWidth="1"/>
    <col min="9" max="9" width="18.7265625" customWidth="1"/>
    <col min="11" max="11" width="12.54296875" customWidth="1"/>
    <col min="13" max="13" width="20.81640625" customWidth="1"/>
  </cols>
  <sheetData>
    <row r="3" spans="5:17" x14ac:dyDescent="0.35">
      <c r="E3" t="s">
        <v>29</v>
      </c>
      <c r="G3" t="s">
        <v>30</v>
      </c>
      <c r="I3" t="s">
        <v>31</v>
      </c>
      <c r="K3" t="s">
        <v>33</v>
      </c>
      <c r="M3" t="s">
        <v>42</v>
      </c>
      <c r="O3" t="s">
        <v>46</v>
      </c>
      <c r="Q3" t="s">
        <v>47</v>
      </c>
    </row>
    <row r="4" spans="5:17" x14ac:dyDescent="0.35">
      <c r="E4" t="s">
        <v>19</v>
      </c>
      <c r="G4" t="s">
        <v>81</v>
      </c>
      <c r="I4" t="s">
        <v>25</v>
      </c>
      <c r="K4" t="s">
        <v>34</v>
      </c>
      <c r="M4" t="s">
        <v>43</v>
      </c>
      <c r="O4" t="s">
        <v>48</v>
      </c>
      <c r="Q4" t="s">
        <v>49</v>
      </c>
    </row>
    <row r="5" spans="5:17" x14ac:dyDescent="0.35">
      <c r="E5" t="s">
        <v>20</v>
      </c>
      <c r="G5" t="s">
        <v>82</v>
      </c>
      <c r="I5" t="s">
        <v>26</v>
      </c>
      <c r="K5" t="s">
        <v>35</v>
      </c>
      <c r="M5" t="s">
        <v>44</v>
      </c>
      <c r="O5" t="s">
        <v>34</v>
      </c>
      <c r="Q5" t="s">
        <v>34</v>
      </c>
    </row>
    <row r="6" spans="5:17" x14ac:dyDescent="0.35">
      <c r="E6" t="s">
        <v>21</v>
      </c>
      <c r="G6" t="s">
        <v>83</v>
      </c>
      <c r="I6" t="s">
        <v>27</v>
      </c>
      <c r="K6" t="s">
        <v>36</v>
      </c>
      <c r="O6" t="s">
        <v>35</v>
      </c>
      <c r="Q6" t="s">
        <v>35</v>
      </c>
    </row>
    <row r="7" spans="5:17" x14ac:dyDescent="0.35">
      <c r="E7" t="s">
        <v>22</v>
      </c>
      <c r="G7" t="s">
        <v>24</v>
      </c>
      <c r="K7" t="s">
        <v>37</v>
      </c>
      <c r="O7" t="s">
        <v>36</v>
      </c>
      <c r="Q7" t="s">
        <v>36</v>
      </c>
    </row>
    <row r="8" spans="5:17" x14ac:dyDescent="0.35">
      <c r="E8" t="s">
        <v>101</v>
      </c>
      <c r="G8" t="s">
        <v>67</v>
      </c>
      <c r="K8" t="s">
        <v>38</v>
      </c>
      <c r="O8" t="s">
        <v>37</v>
      </c>
      <c r="Q8" t="s">
        <v>37</v>
      </c>
    </row>
    <row r="9" spans="5:17" x14ac:dyDescent="0.35">
      <c r="G9" t="s">
        <v>68</v>
      </c>
      <c r="K9" t="s">
        <v>39</v>
      </c>
      <c r="O9" t="s">
        <v>38</v>
      </c>
      <c r="Q9" t="s">
        <v>38</v>
      </c>
    </row>
    <row r="10" spans="5:17" x14ac:dyDescent="0.35">
      <c r="G10" t="s">
        <v>103</v>
      </c>
      <c r="K10" t="s">
        <v>40</v>
      </c>
      <c r="O10" t="s">
        <v>39</v>
      </c>
      <c r="Q10" t="s">
        <v>39</v>
      </c>
    </row>
    <row r="11" spans="5:17" x14ac:dyDescent="0.35">
      <c r="G11" t="s">
        <v>69</v>
      </c>
      <c r="K11" s="2" t="s">
        <v>56</v>
      </c>
      <c r="O11" t="s">
        <v>40</v>
      </c>
      <c r="Q11" t="s">
        <v>40</v>
      </c>
    </row>
    <row r="12" spans="5:17" x14ac:dyDescent="0.35">
      <c r="G12" t="s">
        <v>70</v>
      </c>
      <c r="K12" s="2" t="s">
        <v>57</v>
      </c>
      <c r="O12" s="2" t="s">
        <v>56</v>
      </c>
      <c r="Q12" s="2" t="s">
        <v>56</v>
      </c>
    </row>
    <row r="13" spans="5:17" x14ac:dyDescent="0.35">
      <c r="G13" t="s">
        <v>71</v>
      </c>
      <c r="K13" s="3" t="s">
        <v>58</v>
      </c>
      <c r="O13" s="2" t="s">
        <v>57</v>
      </c>
      <c r="Q13" s="2" t="s">
        <v>57</v>
      </c>
    </row>
    <row r="14" spans="5:17" x14ac:dyDescent="0.35">
      <c r="G14" t="s">
        <v>72</v>
      </c>
      <c r="K14" t="s">
        <v>102</v>
      </c>
      <c r="O14" s="3" t="s">
        <v>58</v>
      </c>
      <c r="Q14" s="3" t="s">
        <v>58</v>
      </c>
    </row>
    <row r="15" spans="5:17" x14ac:dyDescent="0.35">
      <c r="G15" t="s">
        <v>73</v>
      </c>
      <c r="K15" t="s">
        <v>87</v>
      </c>
      <c r="O15" t="s">
        <v>102</v>
      </c>
      <c r="Q15" t="s">
        <v>102</v>
      </c>
    </row>
    <row r="16" spans="5:17" x14ac:dyDescent="0.35">
      <c r="G16" t="s">
        <v>84</v>
      </c>
      <c r="K16" t="s">
        <v>88</v>
      </c>
      <c r="O16" t="s">
        <v>87</v>
      </c>
      <c r="Q16" t="s">
        <v>87</v>
      </c>
    </row>
    <row r="17" spans="7:17" x14ac:dyDescent="0.35">
      <c r="G17" t="s">
        <v>75</v>
      </c>
      <c r="K17" t="s">
        <v>89</v>
      </c>
      <c r="O17" t="s">
        <v>88</v>
      </c>
      <c r="Q17" t="s">
        <v>88</v>
      </c>
    </row>
    <row r="18" spans="7:17" x14ac:dyDescent="0.35">
      <c r="G18" t="s">
        <v>76</v>
      </c>
      <c r="K18" t="s">
        <v>90</v>
      </c>
      <c r="O18" t="s">
        <v>89</v>
      </c>
      <c r="Q18" t="s">
        <v>89</v>
      </c>
    </row>
    <row r="19" spans="7:17" x14ac:dyDescent="0.35">
      <c r="G19" t="s">
        <v>85</v>
      </c>
      <c r="K19" t="s">
        <v>93</v>
      </c>
      <c r="O19" t="s">
        <v>90</v>
      </c>
      <c r="Q19" t="s">
        <v>90</v>
      </c>
    </row>
    <row r="20" spans="7:17" x14ac:dyDescent="0.35">
      <c r="G20" t="s">
        <v>86</v>
      </c>
      <c r="K20" t="s">
        <v>94</v>
      </c>
      <c r="O20" t="s">
        <v>93</v>
      </c>
      <c r="Q20" t="s">
        <v>93</v>
      </c>
    </row>
    <row r="21" spans="7:17" x14ac:dyDescent="0.35">
      <c r="G21" t="s">
        <v>104</v>
      </c>
      <c r="K21" t="s">
        <v>95</v>
      </c>
      <c r="O21" t="s">
        <v>94</v>
      </c>
      <c r="Q21" t="s">
        <v>94</v>
      </c>
    </row>
    <row r="22" spans="7:17" x14ac:dyDescent="0.35">
      <c r="G22" t="s">
        <v>105</v>
      </c>
      <c r="K22" t="s">
        <v>96</v>
      </c>
      <c r="O22" t="s">
        <v>95</v>
      </c>
      <c r="Q22" t="s">
        <v>95</v>
      </c>
    </row>
    <row r="23" spans="7:17" x14ac:dyDescent="0.35">
      <c r="G23" t="s">
        <v>106</v>
      </c>
      <c r="O23" t="s">
        <v>96</v>
      </c>
      <c r="Q23" t="s">
        <v>96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Attendance</vt:lpstr>
      <vt:lpstr>Expenditure</vt:lpstr>
      <vt:lpstr>Sheet4</vt:lpstr>
      <vt:lpstr>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vibha bhat</dc:creator>
  <cp:lastModifiedBy>user</cp:lastModifiedBy>
  <dcterms:created xsi:type="dcterms:W3CDTF">2023-01-16T09:26:22Z</dcterms:created>
  <dcterms:modified xsi:type="dcterms:W3CDTF">2025-09-13T11:34:09Z</dcterms:modified>
</cp:coreProperties>
</file>